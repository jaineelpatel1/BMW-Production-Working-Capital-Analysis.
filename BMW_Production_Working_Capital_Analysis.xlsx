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cef15f42d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View" sheetId="1" r:id="Rf79771c724194730"/>
    <x:sheet xmlns:r="http://schemas.openxmlformats.org/officeDocument/2006/relationships" name="Source Register" sheetId="2" r:id="Rcfdf7e88d679417f"/>
    <x:sheet xmlns:r="http://schemas.openxmlformats.org/officeDocument/2006/relationships" name="Plant Network" sheetId="3" r:id="R0255b26be0de4b25"/>
    <x:sheet xmlns:r="http://schemas.openxmlformats.org/officeDocument/2006/relationships" name="Model Network" sheetId="4" r:id="R8d97ca34d5e04160"/>
    <x:sheet xmlns:r="http://schemas.openxmlformats.org/officeDocument/2006/relationships" name="Transition Timeline" sheetId="5" r:id="Reb9a97297c5149fc"/>
    <x:sheet xmlns:r="http://schemas.openxmlformats.org/officeDocument/2006/relationships" name="Battery Nodes" sheetId="6" r:id="Rc326a380da964e58"/>
    <x:sheet xmlns:r="http://schemas.openxmlformats.org/officeDocument/2006/relationships" name="H1 Financial Signal" sheetId="7" r:id="Rb15914a9f83143cf"/>
    <x:sheet xmlns:r="http://schemas.openxmlformats.org/officeDocument/2006/relationships" name="Method &amp; Definitions" sheetId="8" r:id="R8ad3bc124fc74b64"/>
    <x:sheet xmlns:r="http://schemas.openxmlformats.org/officeDocument/2006/relationships" name="Chart Data" sheetId="9" r:id="Rd0165579d78549b6"/>
    <x:sheet xmlns:r="http://schemas.openxmlformats.org/officeDocument/2006/relationships" name="Evidence Issues" sheetId="10" r:id="R2a63de83a964405f"/>
    <x:sheet xmlns:r="http://schemas.openxmlformats.org/officeDocument/2006/relationships" name="Read Me" sheetId="11" r:id="Rfca24c8dcced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#,##0;[Red](#,##0);-"/>
    <x:numFmt numFmtId="165" formatCode="0.0;[Red](0.0);-"/>
    <x:numFmt numFmtId="166" formatCode="0.0"/>
    <x:numFmt numFmtId="167" formatCode="€#,##0;[Red](€#,##0);-"/>
    <x:numFmt numFmtId="168" formatCode="0.0%;[Red](0.0%);-"/>
    <x:numFmt numFmtId="169" formatCode="€#,##0.0;[Red](€#,##0.0);-"/>
    <x:numFmt numFmtId="170" formatCode="0.0%"/>
    <x:numFmt numFmtId="171" formatCode="#,##0;(#,##0)"/>
  </x:numFmts>
  <x:fonts count="64">
    <x:font>
      <x:sz val="11"/>
      <x:name val="Carlito"/>
    </x:font>
    <x:font>
      <x:b/>
      <x:sz val="18"/>
      <x:color rgb="FFFFFFFF"/>
      <x:name val="Arial"/>
    </x:font>
    <x:font>
      <x:i/>
      <x:sz val="10"/>
      <x:color rgb="FF4B5563"/>
      <x:name val="Arial"/>
    </x:font>
    <x:font>
      <x:b/>
      <x:sz val="9"/>
      <x:color rgb="FF4B5563"/>
      <x:name val="Arial"/>
    </x:font>
    <x:font>
      <x:b/>
      <x:sz val="20"/>
      <x:color rgb="FF111827"/>
      <x:name val="Arial"/>
    </x:font>
    <x:font>
      <x:sz val="9"/>
      <x:color rgb="FF6B7280"/>
      <x:name val="Arial"/>
    </x:font>
    <x:font>
      <x:b/>
      <x:sz val="12"/>
      <x:color rgb="FFFFFFFF"/>
      <x:name val="Arial"/>
    </x:font>
    <x:font>
      <x:sz val="10"/>
      <x:color rgb="FF111827"/>
      <x:name val="Arial"/>
    </x:font>
    <x:font>
      <x:b/>
      <x:sz val="10"/>
      <x:color rgb="FF1F2937"/>
      <x:name val="Arial"/>
    </x:font>
    <x:font>
      <x:b/>
      <x:sz val="10"/>
      <x:color rgb="FF7C4A03"/>
      <x:name val="Arial"/>
    </x:font>
    <x:font>
      <x:sz val="10"/>
      <x:color rgb="FF111827"/>
      <x:name val="Arial"/>
    </x:font>
    <x:font>
      <x:b/>
      <x:sz val="16"/>
      <x:color rgb="FFFFFFFF"/>
      <x:name val="Arial"/>
    </x:font>
    <x:font>
      <x:b/>
      <x:sz val="10"/>
      <x:color rgb="FF20242A"/>
      <x:name val="Times New Roman"/>
    </x:font>
    <x:font>
      <x:sz val="10"/>
      <x:color rgb="FF20242A"/>
      <x:name val="Times New Roman"/>
    </x:font>
    <x:font>
      <x:i/>
      <x:sz val="10"/>
      <x:color rgb="FF20242A"/>
      <x:name val="Times New Roman"/>
    </x:font>
    <x:font>
      <x:b/>
      <x:sz val="18"/>
      <x:color rgb="FFFFFFFF"/>
      <x:name val="Times New Roman"/>
    </x:font>
    <x:font>
      <x:i/>
      <x:sz val="10"/>
      <x:color rgb="FF475569"/>
      <x:name val="Times New Roman"/>
    </x:font>
    <x:font>
      <x:b/>
      <x:sz val="10"/>
      <x:color rgb="FF475569"/>
      <x:name val="Times New Roman"/>
    </x:font>
    <x:font>
      <x:b/>
      <x:sz val="13"/>
      <x:color rgb="FFFFFFFF"/>
      <x:name val="Times New Roman"/>
    </x:font>
    <x:font>
      <x:b/>
      <x:sz val="18"/>
      <x:color rgb="FF111827"/>
      <x:name val="Times New Roman"/>
    </x:font>
    <x:font>
      <x:sz val="10"/>
      <x:color rgb="FF475569"/>
      <x:name val="Times New Roman"/>
    </x:font>
    <x:font>
      <x:b/>
      <x:sz val="9"/>
      <x:color rgb="FF20242A"/>
      <x:name val="Times New Roman"/>
    </x:font>
    <x:font>
      <x:sz val="9"/>
      <x:color rgb="FF20242A"/>
      <x:name val="Times New Roman"/>
    </x:font>
    <x:font>
      <x:b/>
      <x:sz val="10"/>
      <x:color rgb="FFFFFFFF"/>
      <x:name val="Times New Roman"/>
    </x:font>
    <x:font>
      <x:b/>
      <x:sz val="14"/>
      <x:color rgb="FFFFFFFF"/>
      <x:name val="Times New Roman"/>
    </x:font>
    <x:font>
      <x:i/>
      <x:sz val="9"/>
      <x:color rgb="FF1F3349"/>
      <x:name val="Times New Roman"/>
    </x:font>
    <x:font>
      <x:b/>
      <x:sz val="9"/>
      <x:color rgb="FFFFFFFF"/>
      <x:name val="Times New Roman"/>
    </x:font>
    <x:font>
      <x:b/>
      <x:sz val="9"/>
      <x:color rgb="FF1F3349"/>
      <x:name val="Times New Roman"/>
    </x:font>
    <x:font>
      <x:b/>
      <x:sz val="18"/>
      <x:color rgb="FF1F2933"/>
      <x:name val="Times New Roman"/>
    </x:font>
    <x:font>
      <x:sz val="8.5"/>
      <x:color rgb="FF5A6673"/>
      <x:name val="Times New Roman"/>
    </x:font>
    <x:font>
      <x:sz val="9.5"/>
      <x:color rgb="FF1F2933"/>
      <x:name val="Times New Roman"/>
    </x:font>
    <x:font>
      <x:i/>
      <x:sz val="8"/>
      <x:color rgb="FF5A6673"/>
      <x:name val="Times New Roman"/>
    </x:font>
    <x:font>
      <x:b/>
      <x:sz val="10"/>
      <x:color rgb="FF1F2933"/>
      <x:name val="Times New Roman"/>
    </x:font>
    <x:font>
      <x:sz val="10"/>
      <x:color rgb="FF1F2933"/>
      <x:name val="Times New Roman"/>
    </x:font>
    <x:font>
      <x:sz val="9"/>
      <x:color rgb="FF1F2933"/>
      <x:name val="Times New Roman"/>
    </x:font>
    <x:font>
      <x:sz val="10"/>
      <x:color rgb="FF0000FF"/>
      <x:name val="Times New Roman"/>
    </x:font>
    <x:font>
      <x:sz val="10"/>
      <x:color rgb="FF000000"/>
      <x:name val="Times New Roman"/>
    </x:font>
    <x:font>
      <x:b/>
      <x:sz val="11"/>
      <x:color rgb="FFFFFFFF"/>
      <x:name val="Times New Roman"/>
    </x:font>
    <x:font>
      <x:b/>
      <x:sz val="9"/>
      <x:color rgb="FF1F2933"/>
      <x:name val="Times New Roman"/>
    </x:font>
    <x:font>
      <x:sz val="11"/>
      <x:name val="Times New Roman"/>
    </x:font>
    <x:font>
      <x:i/>
      <x:sz val="10"/>
      <x:color rgb="FF1F3349"/>
      <x:name val="Times New Roman"/>
    </x:font>
    <x:font>
      <x:sz val="10"/>
      <x:name val="Times New Roman"/>
    </x:font>
    <x:font>
      <x:b/>
      <x:sz val="10"/>
      <x:color rgb="FF1F3349"/>
      <x:name val="Times New Roman"/>
    </x:font>
    <x:font>
      <x:sz val="10"/>
      <x:color rgb="FF5A6673"/>
      <x:name val="Times New Roman"/>
    </x:font>
    <x:font>
      <x:i/>
      <x:sz val="10"/>
      <x:color rgb="FF5A6673"/>
      <x:name val="Times New Roman"/>
    </x:font>
    <x:font>
      <x:i/>
      <x:sz val="9"/>
      <x:color rgb="FF20242A"/>
      <x:name val="Times New Roman"/>
    </x:font>
    <x:font>
      <x:b/>
      <x:sz val="12"/>
      <x:color rgb="FFFFFFFF"/>
      <x:name val="Times New Roman"/>
    </x:font>
    <x:font>
      <x:b/>
      <x:sz val="10"/>
      <x:color rgb="FF22313F"/>
      <x:name val="Times New Roman"/>
    </x:font>
    <x:font>
      <x:i/>
      <x:sz val="10"/>
      <x:color rgb="FF22313F"/>
      <x:name val="Times New Roman"/>
    </x:font>
    <x:font>
      <x:sz val="10"/>
      <x:color rgb="FF22313F"/>
      <x:name val="Times New Roman"/>
    </x:font>
    <x:font>
      <x:b/>
      <x:sz val="15"/>
      <x:color rgb="FF1F3344"/>
      <x:name val="Times New Roman"/>
    </x:font>
    <x:font>
      <x:i/>
      <x:sz val="9"/>
      <x:color rgb="FF526675"/>
      <x:name val="Times New Roman"/>
    </x:font>
    <x:font>
      <x:b/>
      <x:sz val="9"/>
      <x:color rgb="FF36566B"/>
      <x:name val="Times New Roman"/>
    </x:font>
    <x:font>
      <x:b/>
      <x:sz val="18"/>
      <x:color rgb="FF1F3344"/>
      <x:name val="Times New Roman"/>
    </x:font>
    <x:font>
      <x:sz val="9"/>
      <x:color rgb="FF526675"/>
      <x:name val="Times New Roman"/>
    </x:font>
    <x:font>
      <x:b/>
      <x:sz val="10"/>
      <x:color rgb="FF36566B"/>
      <x:name val="Times New Roman"/>
    </x:font>
    <x:font>
      <x:sz val="10"/>
      <x:color rgb="FF394B5A"/>
      <x:name val="Times New Roman"/>
    </x:font>
    <x:font>
      <x:b/>
      <x:sz val="9"/>
      <x:color rgb="FF22313F"/>
      <x:name val="Times New Roman"/>
    </x:font>
    <x:font>
      <x:sz val="9"/>
      <x:color rgb="FF22313F"/>
      <x:name val="Times New Roman"/>
    </x:font>
    <x:font>
      <x:b/>
      <x:sz val="9"/>
      <x:color rgb="FF2F4658"/>
      <x:name val="Times New Roman"/>
    </x:font>
    <x:font>
      <x:i/>
      <x:sz val="9"/>
      <x:color rgb="FF22313F"/>
      <x:name val="Times New Roman"/>
    </x:font>
    <x:font>
      <x:sz val="9"/>
      <x:color rgb="FF2F4658"/>
      <x:name val="Times New Roman"/>
    </x:font>
    <x:font>
      <x:b/>
      <x:sz val="12"/>
      <x:color rgb="FF1F3344"/>
      <x:name val="Times New Roman"/>
    </x:font>
    <x:font>
      <x:b/>
      <x:sz val="10"/>
      <x:color rgb="FF253442"/>
      <x:name val="Times New Roman"/>
    </x:font>
  </x:fonts>
  <x:fills count="2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EF1F4"/>
      </x:patternFill>
    </x:fill>
    <x:fill>
      <x:patternFill patternType="solid">
        <x:fgColor rgb="FFE6E8EB"/>
      </x:patternFill>
    </x:fill>
    <x:fill>
      <x:patternFill patternType="solid">
        <x:fgColor rgb="FFFFF4CC"/>
      </x:patternFill>
    </x:fill>
    <x:fill>
      <x:patternFill patternType="solid">
        <x:fgColor rgb="FF1F2937"/>
      </x:patternFill>
    </x:fill>
    <x:fill>
      <x:patternFill patternType="solid">
        <x:fgColor rgb="FFEEF2F5"/>
      </x:patternFill>
    </x:fill>
    <x:fill>
      <x:patternFill patternType="solid">
        <x:fgColor rgb="FF1F3349"/>
      </x:patternFill>
    </x:fill>
    <x:fill>
      <x:patternFill patternType="solid">
        <x:fgColor rgb="FFDCE5EC"/>
      </x:patternFill>
    </x:fill>
    <x:fill>
      <x:patternFill patternType="solid">
        <x:fgColor rgb="FFE6EDF2"/>
      </x:patternFill>
    </x:fill>
    <x:fill>
      <x:patternFill patternType="solid">
        <x:fgColor rgb="FFF7F9FB"/>
      </x:patternFill>
    </x:fill>
    <x:fill>
      <x:patternFill patternType="solid">
        <x:fgColor rgb="FFEEF3F7"/>
      </x:patternFill>
    </x:fill>
    <x:fill>
      <x:patternFill patternType="solid">
        <x:fgColor rgb="FFFFF8CC"/>
      </x:patternFill>
    </x:fill>
    <x:fill>
      <x:patternFill patternType="solid">
        <x:fgColor rgb="FFE7EEF3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CEAF7"/>
      </x:patternFill>
    </x:fill>
    <x:fill>
      <x:patternFill patternType="solid">
        <x:fgColor rgb="FFF4F8FC"/>
      </x:patternFill>
    </x:fill>
    <x:fill>
      <x:patternFill patternType="solid">
        <x:fgColor rgb="FFF8FBFE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CEAF7"/>
      </x:patternFill>
    </x:fill>
    <x:fill>
      <x:patternFill patternType="solid">
        <x:fgColor rgb="FFEAF2F9"/>
      </x:patternFill>
    </x:fill>
    <x:fill>
      <x:patternFill patternType="solid">
        <x:fgColor rgb="FFFFFFFF"/>
      </x:patternFill>
    </x:fill>
    <x:fill>
      <x:patternFill patternType="solid">
        <x:fgColor rgb="FFDCEAF7"/>
      </x:patternFill>
    </x:fill>
    <x:fill>
      <x:patternFill patternType="solid">
        <x:fgColor rgb="FFEAF2F9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1"/>
  </x:cellStyleXfs>
  <x:cellXfs count="94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0" xfId="0" applyAlignment="1">
      <x:alignment horizontal="left"/>
    </x:xf>
    <x:xf numFmtId="0" fontId="0" fillId="3" borderId="1" xfId="0"/>
    <x:xf numFmtId="0" fontId="3" fillId="3" borderId="1" xfId="0"/>
    <x:xf numFmtId="0" fontId="3" fillId="3" borderId="1" xfId="0" applyAlignment="1">
      <x:alignment horizontal="left"/>
    </x:xf>
    <x:xf numFmtId="0" fontId="4" fillId="0" borderId="0" xfId="0"/>
    <x:xf numFmtId="0" fontId="4" fillId="0" borderId="0" xfId="0" applyAlignment="1">
      <x:alignment horizontal="left"/>
    </x:xf>
    <x:xf numFmtId="0" fontId="4" fillId="0" borderId="1" xfId="0"/>
    <x:xf numFmtId="0" fontId="4" fillId="0" borderId="1" xfId="0" applyAlignment="1">
      <x:alignment horizontal="left"/>
    </x:xf>
    <x:xf numFmtId="0" fontId="5" fillId="0" borderId="0" xfId="0"/>
    <x:xf numFmtId="0" fontId="5" fillId="0" borderId="0" xfId="0" applyAlignment="1">
      <x:alignment wrapText="1"/>
    </x:xf>
    <x:xf numFmtId="0" fontId="5" fillId="0" borderId="0" xfId="0" applyAlignment="1">
      <x:alignment vertical="top" wrapText="1"/>
    </x:xf>
    <x:xf numFmtId="0" fontId="5" fillId="0" borderId="1" xfId="0"/>
    <x:xf numFmtId="0" fontId="5" fillId="0" borderId="1" xfId="0" applyAlignment="1">
      <x:alignment wrapText="1"/>
    </x:xf>
    <x:xf numFmtId="0" fontId="5" fillId="0" borderId="1" xfId="0" applyAlignment="1">
      <x:alignment vertical="top" wrapText="1"/>
    </x:xf>
    <x:xf numFmtId="0" fontId="6" fillId="2" borderId="0" xfId="0"/>
    <x:xf numFmtId="0" fontId="6" fillId="2" borderId="1" xfId="0"/>
    <x:xf numFmtId="0" fontId="7" fillId="0" borderId="0" xfId="0"/>
    <x:xf numFmtId="0" fontId="7" fillId="0" borderId="0" xfId="0" applyAlignment="1">
      <x:alignment wrapText="1"/>
    </x:xf>
    <x:xf numFmtId="0" fontId="7" fillId="0" borderId="0" xfId="0" applyAlignment="1">
      <x:alignment vertical="top" wrapText="1"/>
    </x:xf>
    <x:xf numFmtId="0" fontId="7" fillId="0" borderId="1" xfId="0"/>
    <x:xf numFmtId="0" fontId="7" fillId="0" borderId="1" xfId="0" applyAlignment="1">
      <x:alignment wrapText="1"/>
    </x:xf>
    <x:xf numFmtId="0" fontId="7" fillId="0" borderId="1" xfId="0" applyAlignment="1">
      <x:alignment vertical="top" wrapText="1"/>
    </x:xf>
    <x:xf numFmtId="0" fontId="0" fillId="4" borderId="0" xfId="0"/>
    <x:xf numFmtId="0" fontId="8" fillId="4" borderId="0" xfId="0"/>
    <x:xf numFmtId="0" fontId="8" fillId="4" borderId="0" xfId="0" applyAlignment="1">
      <x:alignment wrapText="1"/>
    </x:xf>
    <x:xf numFmtId="0" fontId="8" fillId="4" borderId="0" xfId="0" applyAlignment="1">
      <x:alignment horizontal="center" wrapText="1"/>
    </x:xf>
    <x:xf numFmtId="0" fontId="8" fillId="4" borderId="0" xfId="0" applyAlignment="1">
      <x:alignment horizontal="center" vertical="center" wrapText="1"/>
    </x:xf>
    <x:xf numFmtId="0" fontId="0" fillId="4" borderId="1" xfId="0"/>
    <x:xf numFmtId="0" fontId="8" fillId="4" borderId="1" xfId="0"/>
    <x:xf numFmtId="0" fontId="8" fillId="4" borderId="1" xfId="0" applyAlignment="1">
      <x:alignment wrapText="1"/>
    </x:xf>
    <x:xf numFmtId="0" fontId="8" fillId="4" borderId="1" xfId="0" applyAlignment="1">
      <x:alignment horizontal="center" wrapText="1"/>
    </x:xf>
    <x:xf numFmtId="0" fontId="8" fillId="4" borderId="1" xfId="0" applyAlignment="1">
      <x:alignment horizontal="center" vertical="center" wrapText="1"/>
    </x:xf>
    <x:xf numFmtId="0" fontId="7" fillId="0" borderId="0" xfId="0" applyAlignment="1">
      <x:alignment horizontal="center" vertical="top" wrapText="1"/>
    </x:xf>
    <x:xf numFmtId="0" fontId="0" fillId="0" borderId="0" xfId="0" applyAlignment="1">
      <x:alignment horizontal="center"/>
    </x:xf>
    <x:xf numFmtId="0" fontId="7" fillId="0" borderId="1" xfId="0" applyAlignment="1">
      <x:alignment horizontal="center" vertical="top" wrapText="1"/>
    </x:xf>
    <x:xf numFmtId="0" fontId="0" fillId="0" borderId="1" xfId="0" applyAlignment="1">
      <x:alignment horizontal="center"/>
    </x:xf>
    <x:xf numFmtId="0" fontId="7" fillId="5" borderId="0" xfId="0" applyAlignment="1">
      <x:alignment vertical="top" wrapText="1"/>
    </x:xf>
    <x:xf numFmtId="0" fontId="7" fillId="5" borderId="1" xfId="0" applyAlignment="1">
      <x:alignment vertical="top" wrapText="1"/>
    </x:xf>
    <x:xf numFmtId="0" fontId="9" fillId="5" borderId="0" xfId="0" applyAlignment="1">
      <x:alignment vertical="top" wrapText="1"/>
    </x:xf>
    <x:xf numFmtId="0" fontId="9" fillId="5" borderId="1" xfId="0" applyAlignment="1">
      <x:alignment vertical="top" wrapText="1"/>
    </x:xf>
    <x:xf numFmtId="164" fontId="7" fillId="0" borderId="0" xfId="0" applyAlignment="1">
      <x:alignment vertical="top" wrapText="1"/>
    </x:xf>
    <x:xf numFmtId="164" fontId="7" fillId="0" borderId="1" xfId="0" applyAlignment="1">
      <x:alignment vertical="top" wrapText="1"/>
    </x:xf>
    <x:xf numFmtId="165" fontId="7" fillId="0" borderId="0" xfId="0" applyAlignment="1">
      <x:alignment vertical="top" wrapText="1"/>
    </x:xf>
    <x:xf numFmtId="165" fontId="7" fillId="0" borderId="1" xfId="0" applyAlignment="1">
      <x:alignment vertical="top" wrapText="1"/>
    </x:xf>
    <x:xf numFmtId="0" fontId="10" fillId="0" borderId="0" xfId="0" applyAlignment="1">
      <x:alignment vertical="top" wrapText="1"/>
    </x:xf>
    <x:xf numFmtId="0" fontId="10" fillId="0" borderId="1" xfId="0" applyAlignment="1">
      <x:alignment vertical="top" wrapText="1"/>
    </x:xf>
    <x:xf numFmtId="0" fontId="11" fillId="2" borderId="0" xfId="0"/>
    <x:xf numFmtId="0" fontId="11" fillId="2" borderId="1" xfId="0"/>
    <x:xf numFmtId="0" fontId="0" fillId="0" borderId="0" xfId="0"/>
    <x:xf numFmtId="0" fontId="12" fillId="2" borderId="0" xfId="0" applyAlignment="1">
      <x:alignment horizontal="left" vertical="center"/>
    </x:xf>
    <x:xf numFmtId="0" fontId="13" fillId="0" borderId="0" xfId="0"/>
    <x:xf numFmtId="0" fontId="14" fillId="0" borderId="0" xfId="0"/>
    <x:xf numFmtId="0" fontId="12" fillId="3" borderId="0" xfId="0" applyAlignment="1">
      <x:alignment horizontal="left"/>
    </x:xf>
    <x:xf numFmtId="0" fontId="12" fillId="0" borderId="0" xfId="0" applyAlignment="1">
      <x:alignment horizontal="left"/>
    </x:xf>
    <x:xf numFmtId="0" fontId="13" fillId="0" borderId="0" xfId="0" applyAlignment="1">
      <x:alignment vertical="top" wrapText="1"/>
    </x:xf>
    <x:xf numFmtId="0" fontId="12" fillId="2" borderId="0" xfId="0"/>
    <x:xf numFmtId="0" fontId="13" fillId="0" borderId="0" xfId="0" applyAlignment="1">
      <x:alignment vertical="center"/>
    </x:xf>
    <x:xf numFmtId="0" fontId="14" fillId="0" borderId="0" xfId="0" applyAlignment="1">
      <x:alignment vertical="center"/>
    </x:xf>
    <x:xf numFmtId="0" fontId="12" fillId="3" borderId="0" xfId="0" applyAlignment="1">
      <x:alignment horizontal="left" vertical="center"/>
    </x:xf>
    <x:xf numFmtId="0" fontId="12" fillId="0" borderId="0" xfId="0" applyAlignment="1">
      <x:alignment horizontal="left" vertical="center"/>
    </x:xf>
    <x:xf numFmtId="0" fontId="13" fillId="0" borderId="0" xfId="0" applyAlignment="1">
      <x:alignment vertical="center" wrapText="1"/>
    </x:xf>
    <x:xf numFmtId="0" fontId="12" fillId="2" borderId="0" xfId="0" applyAlignment="1">
      <x:alignment vertical="center"/>
    </x:xf>
    <x:xf numFmtId="0" fontId="12" fillId="4" borderId="0" xfId="0" applyAlignment="1">
      <x:alignment horizontal="center" vertical="center" wrapText="1"/>
    </x:xf>
    <x:xf numFmtId="0" fontId="13" fillId="0" borderId="0" xfId="0" applyAlignment="1">
      <x:alignment horizontal="center" vertical="top" wrapText="1"/>
    </x:xf>
    <x:xf numFmtId="0" fontId="13" fillId="0" borderId="0" xfId="0" applyAlignment="1">
      <x:alignment horizontal="center"/>
    </x:xf>
    <x:xf numFmtId="0" fontId="13" fillId="0" borderId="0" xfId="0" applyAlignment="1">
      <x:alignment horizontal="center" vertical="center" wrapText="1"/>
    </x:xf>
    <x:xf numFmtId="0" fontId="13" fillId="0" borderId="0" xfId="0" applyAlignment="1">
      <x:alignment horizontal="center" vertical="center"/>
    </x:xf>
    <x:xf numFmtId="0" fontId="12" fillId="5" borderId="0" xfId="0" applyAlignment="1">
      <x:alignment vertical="top" wrapText="1"/>
    </x:xf>
    <x:xf numFmtId="0" fontId="12" fillId="5" borderId="0" xfId="0" applyAlignment="1">
      <x:alignment vertical="center" wrapText="1"/>
    </x:xf>
    <x:xf numFmtId="164" fontId="13" fillId="0" borderId="0" xfId="0" applyAlignment="1">
      <x:alignment vertical="top" wrapText="1"/>
    </x:xf>
    <x:xf numFmtId="165" fontId="13" fillId="0" borderId="0" xfId="0" applyAlignment="1">
      <x:alignment vertical="top" wrapText="1"/>
    </x:xf>
    <x:xf numFmtId="164" fontId="13" fillId="0" borderId="0" xfId="0" applyAlignment="1">
      <x:alignment vertical="center" wrapText="1"/>
    </x:xf>
    <x:xf numFmtId="165" fontId="13" fillId="0" borderId="0" xfId="0" applyAlignment="1">
      <x:alignment vertical="center" wrapText="1"/>
    </x:xf>
    <x:xf numFmtId="0" fontId="12" fillId="6" borderId="0" xfId="0" applyAlignment="1">
      <x:alignment horizontal="left" vertical="center"/>
    </x:xf>
    <x:xf numFmtId="0" fontId="13" fillId="6" borderId="0" xfId="0" applyAlignment="1">
      <x:alignment vertical="center"/>
    </x:xf>
    <x:xf numFmtId="0" fontId="15" fillId="6" borderId="0" xfId="0" applyAlignment="1">
      <x:alignment horizontal="left" vertical="center"/>
    </x:xf>
    <x:xf numFmtId="0" fontId="15" fillId="6" borderId="0" xfId="0" applyAlignment="1">
      <x:alignment vertical="center"/>
    </x:xf>
    <x:xf numFmtId="0" fontId="16" fillId="0" borderId="0" xfId="0" applyAlignment="1">
      <x:alignment vertical="center"/>
    </x:xf>
    <x:xf numFmtId="0" fontId="12" fillId="7" borderId="0" xfId="0" applyAlignment="1">
      <x:alignment horizontal="left" vertical="center"/>
    </x:xf>
    <x:xf numFmtId="0" fontId="13" fillId="7" borderId="0" xfId="0" applyAlignment="1">
      <x:alignment vertical="center"/>
    </x:xf>
    <x:xf numFmtId="0" fontId="17" fillId="7" borderId="0" xfId="0" applyAlignment="1">
      <x:alignment horizontal="left" vertical="center"/>
    </x:xf>
    <x:xf numFmtId="0" fontId="17" fillId="7" borderId="0" xfId="0" applyAlignment="1">
      <x:alignment vertical="center"/>
    </x:xf>
    <x:xf numFmtId="0" fontId="12" fillId="6" borderId="0" xfId="0" applyAlignment="1">
      <x:alignment vertical="center"/>
    </x:xf>
    <x:xf numFmtId="0" fontId="18" fillId="6" borderId="0" xfId="0" applyAlignment="1">
      <x:alignment vertical="center"/>
    </x:xf>
    <x:xf numFmtId="0" fontId="19" fillId="0" borderId="0" xfId="0" applyAlignment="1">
      <x:alignment horizontal="left" vertical="center"/>
    </x:xf>
    <x:xf numFmtId="0" fontId="19" fillId="0" borderId="0" xfId="0" applyAlignment="1">
      <x:alignment vertical="center"/>
    </x:xf>
    <x:xf numFmtId="0" fontId="20" fillId="0" borderId="0" xfId="0" applyAlignment="1">
      <x:alignment vertical="center" wrapText="1"/>
    </x:xf>
    <x:xf numFmtId="0" fontId="20" fillId="0" borderId="0" xfId="0" applyAlignment="1">
      <x:alignment vertical="center"/>
    </x:xf>
    <x:xf numFmtId="0" fontId="17" fillId="7" borderId="0" xfId="0" applyAlignment="1">
      <x:alignment horizontal="left" vertical="center"/>
    </x:xf>
    <x:xf numFmtId="0" fontId="17" fillId="7" borderId="0" xfId="0" applyAlignment="1">
      <x:alignment vertical="center"/>
    </x:xf>
    <x:xf numFmtId="0" fontId="19" fillId="0" borderId="0" xfId="0" applyAlignment="1">
      <x:alignment horizontal="left" vertical="center"/>
    </x:xf>
    <x:xf numFmtId="0" fontId="19" fillId="0" borderId="0" xfId="0" applyAlignment="1">
      <x:alignment vertical="center"/>
    </x:xf>
    <x:xf numFmtId="0" fontId="20" fillId="0" borderId="0" xfId="0" applyAlignment="1">
      <x:alignment vertical="center" wrapText="1"/>
    </x:xf>
    <x:xf numFmtId="0" fontId="21" fillId="4" borderId="0" xfId="0" applyAlignment="1">
      <x:alignment horizontal="center" vertical="center" wrapText="1"/>
    </x:xf>
    <x:xf numFmtId="0" fontId="22" fillId="0" borderId="0" xfId="0" applyAlignment="1">
      <x:alignment vertical="center"/>
    </x:xf>
    <x:xf numFmtId="0" fontId="22" fillId="0" borderId="0" xfId="0" applyAlignment="1">
      <x:alignment vertical="center" wrapText="1"/>
    </x:xf>
    <x:xf numFmtId="0" fontId="12" fillId="6" borderId="0" xfId="0" applyAlignment="1">
      <x:alignment horizontal="center" vertical="center" wrapText="1"/>
    </x:xf>
    <x:xf numFmtId="0" fontId="23" fillId="6" borderId="0" xfId="0" applyAlignment="1">
      <x:alignment horizontal="center" vertical="center" wrapText="1"/>
    </x:xf>
    <x:xf numFmtId="0" fontId="23" fillId="6" borderId="0" xfId="0" applyAlignment="1">
      <x:alignment horizontal="center" vertical="center" wrapText="1"/>
    </x:xf>
    <x:xf numFmtId="0" fontId="13" fillId="0" borderId="0" xfId="0" applyAlignment="1">
      <x:alignment vertical="center" wrapText="1"/>
    </x:xf>
    <x:xf numFmtId="0" fontId="13" fillId="0" borderId="0" xfId="0" applyAlignment="1">
      <x:alignment horizontal="center" vertical="center" wrapText="1"/>
    </x:xf>
    <x:xf numFmtId="0" fontId="12" fillId="5" borderId="0" xfId="0" applyAlignment="1">
      <x:alignment vertical="center" wrapText="1"/>
    </x:xf>
    <x:xf numFmtId="0" fontId="12" fillId="4" borderId="0" xfId="0" applyAlignment="1">
      <x:alignment horizontal="center" vertical="center" wrapText="1"/>
    </x:xf>
    <x:xf numFmtId="164" fontId="13" fillId="0" borderId="0" xfId="0" applyAlignment="1">
      <x:alignment vertical="center" wrapText="1"/>
    </x:xf>
    <x:xf numFmtId="165" fontId="13" fillId="0" borderId="0" xfId="0" applyAlignment="1">
      <x:alignment vertical="center" wrapText="1"/>
    </x:xf>
    <x:xf numFmtId="0" fontId="23" fillId="6" borderId="0" xfId="0" applyAlignment="1">
      <x:alignment vertical="center"/>
    </x:xf>
    <x:xf numFmtId="0" fontId="23" fillId="6" borderId="0" xfId="0" applyAlignment="1">
      <x:alignment vertical="center"/>
    </x:xf>
    <x:xf numFmtId="0" fontId="23" fillId="6" borderId="0" xfId="0" applyAlignment="1">
      <x:alignment vertical="center" wrapText="1"/>
    </x:xf>
    <x:xf numFmtId="166" fontId="13" fillId="0" borderId="0" xfId="0" applyAlignment="1">
      <x:alignment vertical="center" wrapText="1"/>
    </x:xf>
    <x:xf numFmtId="3" fontId="13" fillId="0" borderId="0" xfId="0" applyAlignment="1">
      <x:alignment vertical="center" wrapText="1"/>
    </x:xf>
    <x:xf numFmtId="1" fontId="13" fillId="0" borderId="0" xfId="0" applyAlignment="1">
      <x:alignment vertical="center" wrapText="1"/>
    </x:xf>
    <x:xf numFmtId="1" fontId="12" fillId="5" borderId="0" xfId="0" applyAlignment="1">
      <x:alignment vertical="center" wrapText="1"/>
    </x:xf>
    <x:xf numFmtId="1" fontId="13" fillId="0" borderId="0" xfId="0" applyAlignment="1">
      <x:alignment horizontal="center" vertical="center" wrapText="1"/>
    </x:xf>
    <x:xf numFmtId="0" fontId="13" fillId="2" borderId="0" xfId="0" applyAlignment="1">
      <x:alignment vertical="center"/>
    </x:xf>
    <x:xf numFmtId="0" fontId="15" fillId="2" borderId="0" xfId="0" applyAlignment="1">
      <x:alignment horizontal="left" vertical="center"/>
    </x:xf>
    <x:xf numFmtId="0" fontId="15" fillId="2" borderId="0" xfId="0" applyAlignment="1">
      <x:alignment vertical="center"/>
    </x:xf>
    <x:xf numFmtId="0" fontId="18" fillId="2" borderId="0" xfId="0" applyAlignment="1">
      <x:alignment vertical="center"/>
    </x:xf>
    <x:xf numFmtId="0" fontId="12" fillId="2" borderId="0" xfId="0" applyAlignment="1">
      <x:alignment horizontal="center" vertical="center" wrapText="1"/>
    </x:xf>
    <x:xf numFmtId="0" fontId="23" fillId="2" borderId="0" xfId="0" applyAlignment="1">
      <x:alignment horizontal="center" vertical="center" wrapText="1"/>
    </x:xf>
    <x:xf numFmtId="0" fontId="23" fillId="2" borderId="0" xfId="0" applyAlignment="1">
      <x:alignment horizontal="center" vertical="center" wrapText="1"/>
    </x:xf>
    <x:xf numFmtId="0" fontId="23" fillId="2" borderId="0" xfId="0" applyAlignment="1">
      <x:alignment vertical="center"/>
    </x:xf>
    <x:xf numFmtId="0" fontId="23" fillId="2" borderId="0" xfId="0" applyAlignment="1">
      <x:alignment vertical="center"/>
    </x:xf>
    <x:xf numFmtId="0" fontId="23" fillId="2" borderId="0" xfId="0" applyAlignment="1">
      <x:alignment vertical="center" wrapText="1"/>
    </x:xf>
    <x:xf numFmtId="0" fontId="0" fillId="8" borderId="0" xfId="0"/>
    <x:xf numFmtId="0" fontId="24" fillId="8" borderId="0" xfId="0"/>
    <x:xf numFmtId="0" fontId="24" fillId="8" borderId="0" xfId="0" applyAlignment="1">
      <x:alignment wrapText="1"/>
    </x:xf>
    <x:xf numFmtId="0" fontId="24" fillId="8" borderId="0" xfId="0" applyAlignment="1">
      <x:alignment horizontal="left" wrapText="1"/>
    </x:xf>
    <x:xf numFmtId="0" fontId="24" fillId="8" borderId="0" xfId="0" applyAlignment="1">
      <x:alignment horizontal="left" vertical="center" wrapText="1"/>
    </x:xf>
    <x:xf numFmtId="0" fontId="0" fillId="9" borderId="0" xfId="0"/>
    <x:xf numFmtId="0" fontId="25" fillId="9" borderId="0" xfId="0"/>
    <x:xf numFmtId="0" fontId="25" fillId="9" borderId="0" xfId="0" applyAlignment="1">
      <x:alignment wrapText="1"/>
    </x:xf>
    <x:xf numFmtId="0" fontId="25" fillId="9" borderId="0" xfId="0" applyAlignment="1">
      <x:alignment horizontal="left" wrapText="1"/>
    </x:xf>
    <x:xf numFmtId="0" fontId="25" fillId="9" borderId="0" xfId="0" applyAlignment="1">
      <x:alignment horizontal="left" vertical="center" wrapText="1"/>
    </x:xf>
    <x:xf numFmtId="0" fontId="26" fillId="8" borderId="0" xfId="0"/>
    <x:xf numFmtId="0" fontId="26" fillId="8" borderId="0" xfId="0" applyAlignment="1">
      <x:alignment wrapText="1"/>
    </x:xf>
    <x:xf numFmtId="0" fontId="26" fillId="8" borderId="0" xfId="0" applyAlignment="1">
      <x:alignment horizontal="left" wrapText="1"/>
    </x:xf>
    <x:xf numFmtId="0" fontId="26" fillId="8" borderId="0" xfId="0" applyAlignment="1">
      <x:alignment horizontal="left" vertical="center" wrapText="1"/>
    </x:xf>
    <x:xf numFmtId="0" fontId="26" fillId="10" borderId="0" xfId="0" applyAlignment="1">
      <x:alignment horizontal="left" vertical="center" wrapText="1"/>
    </x:xf>
    <x:xf numFmtId="0" fontId="27" fillId="10" borderId="0" xfId="0" applyAlignment="1">
      <x:alignment horizontal="left" vertical="center" wrapText="1"/>
    </x:xf>
    <x:xf numFmtId="0" fontId="27" fillId="10" borderId="0" xfId="0" applyAlignment="1">
      <x:alignment horizontal="center" vertical="center" wrapText="1"/>
    </x:xf>
    <x:xf numFmtId="0" fontId="0" fillId="11" borderId="0" xfId="0"/>
    <x:xf numFmtId="0" fontId="28" fillId="11" borderId="0" xfId="0"/>
    <x:xf numFmtId="0" fontId="28" fillId="11" borderId="0" xfId="0" applyAlignment="1">
      <x:alignment horizontal="center"/>
    </x:xf>
    <x:xf numFmtId="0" fontId="28" fillId="11" borderId="0" xfId="0" applyAlignment="1">
      <x:alignment horizontal="center" vertical="center"/>
    </x:xf>
    <x:xf numFmtId="0" fontId="29" fillId="11" borderId="0" xfId="0"/>
    <x:xf numFmtId="0" fontId="29" fillId="11" borderId="0" xfId="0" applyAlignment="1">
      <x:alignment wrapText="1"/>
    </x:xf>
    <x:xf numFmtId="0" fontId="29" fillId="11" borderId="0" xfId="0" applyAlignment="1">
      <x:alignment horizontal="center" wrapText="1"/>
    </x:xf>
    <x:xf numFmtId="0" fontId="29" fillId="11" borderId="0" xfId="0" applyAlignment="1">
      <x:alignment horizontal="center" vertical="top" wrapText="1"/>
    </x:xf>
    <x:xf numFmtId="0" fontId="30" fillId="11" borderId="0" xfId="0"/>
    <x:xf numFmtId="0" fontId="30" fillId="11" borderId="0" xfId="0" applyAlignment="1">
      <x:alignment wrapText="1"/>
    </x:xf>
    <x:xf numFmtId="0" fontId="30" fillId="11" borderId="0" xfId="0" applyAlignment="1">
      <x:alignment horizontal="left" wrapText="1"/>
    </x:xf>
    <x:xf numFmtId="0" fontId="30" fillId="11" borderId="0" xfId="0" applyAlignment="1">
      <x:alignment horizontal="left" vertical="top" wrapText="1"/>
    </x:xf>
    <x:xf numFmtId="0" fontId="31" fillId="0" borderId="0" xfId="0"/>
    <x:xf numFmtId="0" fontId="31" fillId="0" borderId="0" xfId="0" applyAlignment="1">
      <x:alignment horizontal="center"/>
    </x:xf>
    <x:xf numFmtId="1" fontId="0" fillId="0" borderId="0" xfId="0"/>
    <x:xf numFmtId="0" fontId="0" fillId="0" borderId="0" xfId="0" applyAlignment="1">
      <x:alignment wrapText="1"/>
    </x:xf>
    <x:xf numFmtId="1" fontId="0" fillId="0" borderId="0" xfId="0" applyAlignment="1">
      <x:alignment wrapText="1"/>
    </x:xf>
    <x:xf numFmtId="0" fontId="32" fillId="2" borderId="0" xfId="0" applyAlignment="1">
      <x:alignment horizontal="center" vertical="center" wrapText="1"/>
    </x:xf>
    <x:xf numFmtId="0" fontId="33" fillId="0" borderId="0" xfId="0" applyAlignment="1">
      <x:alignment wrapText="1"/>
    </x:xf>
    <x:xf numFmtId="0" fontId="33" fillId="0" borderId="0" xfId="0" applyAlignment="1">
      <x:alignment vertical="center" wrapText="1"/>
    </x:xf>
    <x:xf numFmtId="1" fontId="33" fillId="0" borderId="0" xfId="0" applyAlignment="1">
      <x:alignment vertical="center" wrapText="1"/>
    </x:xf>
    <x:xf numFmtId="1" fontId="33" fillId="0" borderId="0" xfId="0" applyAlignment="1">
      <x:alignment wrapText="1"/>
    </x:xf>
    <x:xf numFmtId="0" fontId="32" fillId="5" borderId="0" xfId="0" applyAlignment="1">
      <x:alignment vertical="center" wrapText="1"/>
    </x:xf>
    <x:xf numFmtId="1" fontId="32" fillId="5" borderId="0" xfId="0" applyAlignment="1">
      <x:alignment vertical="center" wrapText="1"/>
    </x:xf>
    <x:xf numFmtId="0" fontId="32" fillId="8" borderId="0" xfId="0" applyAlignment="1">
      <x:alignment horizontal="center" vertical="center" wrapText="1"/>
    </x:xf>
    <x:xf numFmtId="0" fontId="33" fillId="8" borderId="0" xfId="0" applyAlignment="1">
      <x:alignment wrapText="1"/>
    </x:xf>
    <x:xf numFmtId="0" fontId="26" fillId="8" borderId="0" xfId="0" applyAlignment="1">
      <x:alignment horizontal="center" vertical="center" wrapText="1"/>
    </x:xf>
    <x:xf numFmtId="0" fontId="26" fillId="8" borderId="0" xfId="0" applyAlignment="1">
      <x:alignment vertical="center" wrapText="1"/>
    </x:xf>
    <x:xf numFmtId="0" fontId="33" fillId="0" borderId="0" xfId="0" applyAlignment="1">
      <x:alignment vertical="top" wrapText="1"/>
    </x:xf>
    <x:xf numFmtId="1" fontId="33" fillId="0" borderId="0" xfId="0" applyAlignment="1">
      <x:alignment vertical="top" wrapText="1"/>
    </x:xf>
    <x:xf numFmtId="0" fontId="33" fillId="0" borderId="0" xfId="0" applyAlignment="1">
      <x:alignment vertical="top" wrapText="1"/>
    </x:xf>
    <x:xf numFmtId="1" fontId="33" fillId="0" borderId="0" xfId="0" applyAlignment="1">
      <x:alignment vertical="top" wrapText="1"/>
    </x:xf>
    <x:xf numFmtId="0" fontId="32" fillId="5" borderId="0" xfId="0" applyAlignment="1">
      <x:alignment vertical="top" wrapText="1"/>
    </x:xf>
    <x:xf numFmtId="1" fontId="32" fillId="5" borderId="0" xfId="0" applyAlignment="1">
      <x:alignment vertical="top" wrapText="1"/>
    </x:xf>
    <x:xf numFmtId="0" fontId="33" fillId="12" borderId="0" xfId="0" applyAlignment="1">
      <x:alignment vertical="top" wrapText="1"/>
    </x:xf>
    <x:xf numFmtId="1" fontId="33" fillId="12" borderId="0" xfId="0" applyAlignment="1">
      <x:alignment vertical="top" wrapText="1"/>
    </x:xf>
    <x:xf numFmtId="0" fontId="33" fillId="12" borderId="0" xfId="0" applyAlignment="1">
      <x:alignment vertical="top" wrapText="1"/>
    </x:xf>
    <x:xf numFmtId="1" fontId="33" fillId="12" borderId="0" xfId="0" applyAlignment="1">
      <x:alignment vertical="top" wrapText="1"/>
    </x:xf>
    <x:xf numFmtId="0" fontId="32" fillId="12" borderId="0" xfId="0" applyAlignment="1">
      <x:alignment vertical="top" wrapText="1"/>
    </x:xf>
    <x:xf numFmtId="1" fontId="32" fillId="12" borderId="0" xfId="0" applyAlignment="1">
      <x:alignment vertical="top" wrapText="1"/>
    </x:xf>
    <x:xf numFmtId="0" fontId="26" fillId="8" borderId="0" xfId="0" applyAlignment="1">
      <x:alignment vertical="center" wrapText="1"/>
    </x:xf>
    <x:xf numFmtId="0" fontId="33" fillId="0" borderId="0" xfId="0" applyAlignment="1">
      <x:alignment vertical="center"/>
    </x:xf>
    <x:xf numFmtId="1" fontId="33" fillId="0" borderId="0" xfId="0" applyAlignment="1">
      <x:alignment horizontal="center" vertical="center" wrapText="1"/>
    </x:xf>
    <x:xf numFmtId="0" fontId="33" fillId="8" borderId="0" xfId="0" applyAlignment="1">
      <x:alignment vertical="center"/>
    </x:xf>
    <x:xf numFmtId="0" fontId="26" fillId="8" borderId="0" xfId="0" applyAlignment="1">
      <x:alignment vertical="center"/>
    </x:xf>
    <x:xf numFmtId="0" fontId="33" fillId="0" borderId="0" xfId="0" applyAlignment="1">
      <x:alignment vertical="center" wrapText="1"/>
    </x:xf>
    <x:xf numFmtId="1" fontId="33" fillId="0" borderId="0" xfId="0" applyAlignment="1">
      <x:alignment horizontal="center" vertical="top" wrapText="1"/>
    </x:xf>
    <x:xf numFmtId="1" fontId="33" fillId="12" borderId="0" xfId="0" applyAlignment="1">
      <x:alignment horizontal="center" vertical="top" wrapText="1"/>
    </x:xf>
    <x:xf numFmtId="0" fontId="32" fillId="4" borderId="0" xfId="0" applyAlignment="1">
      <x:alignment horizontal="center" vertical="center" wrapText="1"/>
    </x:xf>
    <x:xf numFmtId="0" fontId="33" fillId="8" borderId="0" xfId="0" applyAlignment="1">
      <x:alignment vertical="center" wrapText="1"/>
    </x:xf>
    <x:xf numFmtId="0" fontId="0" fillId="13" borderId="0" xfId="0"/>
    <x:xf numFmtId="0" fontId="34" fillId="13" borderId="0" xfId="0"/>
    <x:xf numFmtId="0" fontId="34" fillId="13" borderId="0" xfId="0" applyAlignment="1">
      <x:alignment wrapText="1"/>
    </x:xf>
    <x:xf numFmtId="0" fontId="35" fillId="13" borderId="0" xfId="0" applyAlignment="1">
      <x:alignment wrapText="1"/>
    </x:xf>
    <x:xf numFmtId="0" fontId="36" fillId="0" borderId="0" xfId="0" applyAlignment="1">
      <x:alignment vertical="center" wrapText="1"/>
    </x:xf>
    <x:xf numFmtId="167" fontId="13" fillId="0" borderId="0" xfId="0" applyAlignment="1">
      <x:alignment vertical="center" wrapText="1"/>
    </x:xf>
    <x:xf numFmtId="168" fontId="13" fillId="0" borderId="0" xfId="0" applyAlignment="1">
      <x:alignment vertical="center" wrapText="1"/>
    </x:xf>
    <x:xf numFmtId="164" fontId="36" fillId="0" borderId="0" xfId="0" applyAlignment="1">
      <x:alignment vertical="center" wrapText="1"/>
    </x:xf>
    <x:xf numFmtId="165" fontId="36" fillId="0" borderId="0" xfId="0" applyAlignment="1">
      <x:alignment vertical="center" wrapText="1"/>
    </x:xf>
    <x:xf numFmtId="169" fontId="36" fillId="0" borderId="0" xfId="0" applyAlignment="1">
      <x:alignment vertical="center" wrapText="1"/>
    </x:xf>
    <x:xf numFmtId="167" fontId="35" fillId="13" borderId="0" xfId="0" applyAlignment="1">
      <x:alignment wrapText="1"/>
    </x:xf>
    <x:xf numFmtId="1" fontId="35" fillId="13" borderId="0" xfId="0" applyAlignment="1">
      <x:alignment wrapText="1"/>
    </x:xf>
    <x:xf numFmtId="0" fontId="13" fillId="12" borderId="0" xfId="0" applyAlignment="1">
      <x:alignment vertical="center" wrapText="1"/>
    </x:xf>
    <x:xf numFmtId="3" fontId="13" fillId="12" borderId="0" xfId="0" applyAlignment="1">
      <x:alignment vertical="center" wrapText="1"/>
    </x:xf>
    <x:xf numFmtId="167" fontId="13" fillId="12" borderId="0" xfId="0" applyAlignment="1">
      <x:alignment vertical="center" wrapText="1"/>
    </x:xf>
    <x:xf numFmtId="0" fontId="33" fillId="0" borderId="0" xfId="0"/>
    <x:xf numFmtId="0" fontId="33" fillId="8" borderId="0" xfId="0"/>
    <x:xf numFmtId="0" fontId="33" fillId="0" borderId="0" xfId="0" applyAlignment="1">
      <x:alignment horizontal="center" vertical="center" wrapText="1"/>
    </x:xf>
    <x:xf numFmtId="0" fontId="33" fillId="0" borderId="0" xfId="0" applyAlignment="1">
      <x:alignment horizontal="center" vertical="top" wrapText="1"/>
    </x:xf>
    <x:xf numFmtId="0" fontId="33" fillId="12" borderId="0" xfId="0" applyAlignment="1">
      <x:alignment horizontal="center" vertical="top" wrapText="1"/>
    </x:xf>
    <x:xf numFmtId="0" fontId="33" fillId="12" borderId="0" xfId="0" applyAlignment="1">
      <x:alignment vertical="center" wrapText="1"/>
    </x:xf>
    <x:xf numFmtId="0" fontId="32" fillId="2" borderId="0" xfId="0" applyAlignment="1">
      <x:alignment vertical="center" wrapText="1"/>
    </x:xf>
    <x:xf numFmtId="0" fontId="32" fillId="8" borderId="0" xfId="0" applyAlignment="1">
      <x:alignment vertical="center" wrapText="1"/>
    </x:xf>
    <x:xf numFmtId="0" fontId="37" fillId="8" borderId="0" xfId="0" applyAlignment="1">
      <x:alignment vertical="center" wrapText="1"/>
    </x:xf>
    <x:xf numFmtId="0" fontId="33" fillId="14" borderId="0" xfId="0" applyAlignment="1">
      <x:alignment vertical="center" wrapText="1"/>
    </x:xf>
    <x:xf numFmtId="0" fontId="27" fillId="14" borderId="0" xfId="0" applyAlignment="1">
      <x:alignment vertical="center" wrapText="1"/>
    </x:xf>
    <x:xf numFmtId="0" fontId="38" fillId="4" borderId="0" xfId="0" applyAlignment="1">
      <x:alignment horizontal="center" vertical="center" wrapText="1"/>
    </x:xf>
    <x:xf numFmtId="0" fontId="34" fillId="0" borderId="0" xfId="0" applyAlignment="1">
      <x:alignment vertical="center"/>
    </x:xf>
    <x:xf numFmtId="0" fontId="34" fillId="0" borderId="0" xfId="0" applyAlignment="1">
      <x:alignment vertical="center" wrapText="1"/>
    </x:xf>
    <x:xf numFmtId="0" fontId="38" fillId="8" borderId="0" xfId="0" applyAlignment="1">
      <x:alignment horizontal="center" vertical="center" wrapText="1"/>
    </x:xf>
    <x:xf numFmtId="0" fontId="34" fillId="8" borderId="0" xfId="0" applyAlignment="1">
      <x:alignment vertical="center"/>
    </x:xf>
    <x:xf numFmtId="0" fontId="26" fillId="8" borderId="0" xfId="0" applyAlignment="1">
      <x:alignment horizontal="center" vertical="center" wrapText="1"/>
    </x:xf>
    <x:xf numFmtId="170" fontId="28" fillId="11" borderId="0" xfId="0" applyAlignment="1">
      <x:alignment horizontal="center" vertical="center"/>
    </x:xf>
    <x:xf numFmtId="164" fontId="28" fillId="11" borderId="0" xfId="0" applyAlignment="1">
      <x:alignment horizontal="center" vertical="center"/>
    </x:xf>
    <x:xf numFmtId="167" fontId="28" fillId="11" borderId="0" xfId="0" applyAlignment="1">
      <x:alignment horizontal="center" vertical="center"/>
    </x:xf>
    <x:xf numFmtId="170" fontId="13" fillId="0" borderId="0" xfId="0" applyAlignment="1">
      <x:alignment vertical="center" wrapText="1"/>
    </x:xf>
    <x:xf numFmtId="0" fontId="39" fillId="0" borderId="0" xfId="0"/>
    <x:xf numFmtId="0" fontId="23" fillId="8" borderId="0" xfId="0" applyAlignment="1">
      <x:alignment horizontal="left" vertical="center" wrapText="1"/>
    </x:xf>
    <x:xf numFmtId="0" fontId="40" fillId="9" borderId="0" xfId="0" applyAlignment="1">
      <x:alignment horizontal="left" vertical="center" wrapText="1"/>
    </x:xf>
    <x:xf numFmtId="0" fontId="41" fillId="0" borderId="0" xfId="0"/>
    <x:xf numFmtId="0" fontId="42" fillId="10" borderId="0" xfId="0" applyAlignment="1">
      <x:alignment horizontal="center" vertical="center" wrapText="1"/>
    </x:xf>
    <x:xf numFmtId="0" fontId="32" fillId="11" borderId="0" xfId="0" applyAlignment="1">
      <x:alignment horizontal="center" vertical="center"/>
    </x:xf>
    <x:xf numFmtId="170" fontId="32" fillId="11" borderId="0" xfId="0" applyAlignment="1">
      <x:alignment horizontal="center" vertical="center"/>
    </x:xf>
    <x:xf numFmtId="0" fontId="43" fillId="11" borderId="0" xfId="0" applyAlignment="1">
      <x:alignment horizontal="center" vertical="top" wrapText="1"/>
    </x:xf>
    <x:xf numFmtId="164" fontId="32" fillId="11" borderId="0" xfId="0" applyAlignment="1">
      <x:alignment horizontal="center" vertical="center"/>
    </x:xf>
    <x:xf numFmtId="167" fontId="32" fillId="11" borderId="0" xfId="0" applyAlignment="1">
      <x:alignment horizontal="center" vertical="center"/>
    </x:xf>
    <x:xf numFmtId="0" fontId="33" fillId="11" borderId="0" xfId="0" applyAlignment="1">
      <x:alignment horizontal="left" vertical="top" wrapText="1"/>
    </x:xf>
    <x:xf numFmtId="0" fontId="44" fillId="0" borderId="0" xfId="0" applyAlignment="1">
      <x:alignment horizontal="center"/>
    </x:xf>
    <x:xf numFmtId="0" fontId="23" fillId="8" borderId="0" xfId="0" applyAlignment="1">
      <x:alignment horizontal="center" vertical="center" wrapText="1"/>
    </x:xf>
    <x:xf numFmtId="0" fontId="23" fillId="8" borderId="0" xfId="0" applyAlignment="1">
      <x:alignment vertical="center" wrapText="1"/>
    </x:xf>
    <x:xf numFmtId="0" fontId="23" fillId="8" borderId="0" xfId="0" applyAlignment="1">
      <x:alignment vertical="center" wrapText="1"/>
    </x:xf>
    <x:xf numFmtId="0" fontId="23" fillId="8" borderId="0" xfId="0" applyAlignment="1">
      <x:alignment wrapText="1"/>
    </x:xf>
    <x:xf numFmtId="0" fontId="33" fillId="13" borderId="0" xfId="0" applyAlignment="1">
      <x:alignment wrapText="1"/>
    </x:xf>
    <x:xf numFmtId="0" fontId="23" fillId="8" borderId="0" xfId="0" applyAlignment="1">
      <x:alignment horizontal="center" vertical="center" wrapText="1"/>
    </x:xf>
    <x:xf numFmtId="0" fontId="42" fillId="14" borderId="0" xfId="0" applyAlignment="1">
      <x:alignment vertical="center" wrapText="1"/>
    </x:xf>
    <x:xf numFmtId="0" fontId="24" fillId="8" borderId="0" xfId="0" applyAlignment="1">
      <x:alignment vertical="center" wrapText="1"/>
    </x:xf>
    <x:xf numFmtId="0" fontId="12" fillId="0" borderId="0" xfId="0" applyAlignment="1">
      <x:alignment vertical="center" wrapText="1"/>
    </x:xf>
    <x:xf numFmtId="0" fontId="12" fillId="0" borderId="0" xfId="0" applyAlignment="1">
      <x:alignment vertical="center"/>
    </x:xf>
    <x:xf numFmtId="0" fontId="22" fillId="0" borderId="0" xfId="0" applyAlignment="1">
      <x:alignment vertical="center" wrapText="1"/>
    </x:xf>
    <x:xf numFmtId="0" fontId="45" fillId="0" borderId="0" xfId="0" applyAlignment="1">
      <x:alignment vertical="center" wrapText="1"/>
    </x:xf>
    <x:xf numFmtId="0" fontId="45" fillId="0" borderId="0" xfId="0" applyAlignment="1">
      <x:alignment vertical="center" wrapText="1"/>
    </x:xf>
    <x:xf numFmtId="0" fontId="45" fillId="11" borderId="0" xfId="0" applyAlignment="1">
      <x:alignment vertical="center" wrapText="1"/>
    </x:xf>
    <x:xf numFmtId="0" fontId="45" fillId="11" borderId="0" xfId="0" applyAlignment="1">
      <x:alignment vertical="center" wrapText="1"/>
    </x:xf>
    <x:xf numFmtId="0" fontId="23" fillId="8" borderId="0" xfId="0" applyAlignment="1">
      <x:alignment horizontal="left" vertical="center"/>
    </x:xf>
    <x:xf numFmtId="0" fontId="40" fillId="9" borderId="0" xfId="0" applyAlignment="1">
      <x:alignment horizontal="left" vertical="center"/>
    </x:xf>
    <x:xf numFmtId="0" fontId="41" fillId="0" borderId="0" xfId="0"/>
    <x:xf numFmtId="0" fontId="42" fillId="10" borderId="0" xfId="0" applyAlignment="1">
      <x:alignment horizontal="center" vertical="center"/>
    </x:xf>
    <x:xf numFmtId="0" fontId="32" fillId="11" borderId="0" xfId="0" applyAlignment="1">
      <x:alignment horizontal="center" vertical="center"/>
    </x:xf>
    <x:xf numFmtId="170" fontId="32" fillId="11" borderId="0" xfId="0" applyAlignment="1">
      <x:alignment horizontal="center" vertical="center"/>
    </x:xf>
    <x:xf numFmtId="0" fontId="43" fillId="11" borderId="0" xfId="0" applyAlignment="1">
      <x:alignment horizontal="center" vertical="top"/>
    </x:xf>
    <x:xf numFmtId="164" fontId="32" fillId="11" borderId="0" xfId="0" applyAlignment="1">
      <x:alignment horizontal="center" vertical="center"/>
    </x:xf>
    <x:xf numFmtId="167" fontId="32" fillId="11" borderId="0" xfId="0" applyAlignment="1">
      <x:alignment horizontal="center" vertical="center"/>
    </x:xf>
    <x:xf numFmtId="0" fontId="33" fillId="11" borderId="0" xfId="0" applyAlignment="1">
      <x:alignment horizontal="left" vertical="top"/>
    </x:xf>
    <x:xf numFmtId="0" fontId="44" fillId="0" borderId="0" xfId="0" applyAlignment="1">
      <x:alignment horizontal="center"/>
    </x:xf>
    <x:xf numFmtId="0" fontId="23" fillId="8" borderId="0" xfId="0" applyAlignment="1">
      <x:alignment horizontal="center" vertical="center"/>
    </x:xf>
    <x:xf numFmtId="0" fontId="13" fillId="0" borderId="0" xfId="0" applyAlignment="1">
      <x:alignment vertical="center"/>
    </x:xf>
    <x:xf numFmtId="0" fontId="33" fillId="12" borderId="0" xfId="0" applyAlignment="1">
      <x:alignment vertical="top"/>
    </x:xf>
    <x:xf numFmtId="0" fontId="33" fillId="12" borderId="0" xfId="0" applyAlignment="1">
      <x:alignment horizontal="center" vertical="top"/>
    </x:xf>
    <x:xf numFmtId="0" fontId="33" fillId="0" borderId="0" xfId="0" applyAlignment="1">
      <x:alignment vertical="top"/>
    </x:xf>
    <x:xf numFmtId="0" fontId="33" fillId="0" borderId="0" xfId="0" applyAlignment="1">
      <x:alignment horizontal="center" vertical="top"/>
    </x:xf>
    <x:xf numFmtId="0" fontId="23" fillId="8" borderId="0" xfId="0" applyAlignment="1">
      <x:alignment vertical="center"/>
    </x:xf>
    <x:xf numFmtId="1" fontId="33" fillId="12" borderId="0" xfId="0" applyAlignment="1">
      <x:alignment vertical="top"/>
    </x:xf>
    <x:xf numFmtId="1" fontId="33" fillId="0" borderId="0" xfId="0" applyAlignment="1">
      <x:alignment vertical="top"/>
    </x:xf>
    <x:xf numFmtId="0" fontId="32" fillId="12" borderId="0" xfId="0" applyAlignment="1">
      <x:alignment vertical="top"/>
    </x:xf>
    <x:xf numFmtId="1" fontId="32" fillId="12" borderId="0" xfId="0" applyAlignment="1">
      <x:alignment vertical="top"/>
    </x:xf>
    <x:xf numFmtId="0" fontId="13" fillId="0" borderId="0" xfId="0" applyAlignment="1">
      <x:alignment vertical="center"/>
    </x:xf>
    <x:xf numFmtId="1" fontId="13" fillId="0" borderId="0" xfId="0" applyAlignment="1">
      <x:alignment vertical="center"/>
    </x:xf>
    <x:xf numFmtId="0" fontId="23" fillId="8" borderId="0" xfId="0" applyAlignment="1">
      <x:alignment vertical="center"/>
    </x:xf>
    <x:xf numFmtId="0" fontId="33" fillId="12" borderId="0" xfId="0" applyAlignment="1">
      <x:alignment vertical="top"/>
    </x:xf>
    <x:xf numFmtId="0" fontId="33" fillId="0" borderId="0" xfId="0" applyAlignment="1">
      <x:alignment vertical="top"/>
    </x:xf>
    <x:xf numFmtId="0" fontId="33" fillId="12" borderId="0" xfId="0" applyAlignment="1">
      <x:alignment vertical="center"/>
    </x:xf>
    <x:xf numFmtId="0" fontId="33" fillId="0" borderId="0" xfId="0" applyAlignment="1">
      <x:alignment vertical="center"/>
    </x:xf>
    <x:xf numFmtId="0" fontId="42" fillId="14" borderId="0" xfId="0" applyAlignment="1">
      <x:alignment vertical="center"/>
    </x:xf>
    <x:xf numFmtId="0" fontId="14" fillId="11" borderId="0" xfId="0" applyAlignment="1">
      <x:alignment vertical="center" wrapText="1"/>
    </x:xf>
    <x:xf numFmtId="0" fontId="14" fillId="11" borderId="0" xfId="0" applyAlignment="1">
      <x:alignment vertical="center" wrapText="1"/>
    </x:xf>
    <x:xf numFmtId="0" fontId="23" fillId="2" borderId="0" xfId="0" applyAlignment="1">
      <x:alignment horizontal="center" vertical="center"/>
    </x:xf>
    <x:xf numFmtId="0" fontId="12" fillId="0" borderId="0" xfId="0" applyAlignment="1">
      <x:alignment vertical="center"/>
    </x:xf>
    <x:xf numFmtId="0" fontId="23" fillId="8" borderId="0" xfId="0"/>
    <x:xf numFmtId="0" fontId="13" fillId="12" borderId="0" xfId="0" applyAlignment="1">
      <x:alignment vertical="center"/>
    </x:xf>
    <x:xf numFmtId="3" fontId="13" fillId="12" borderId="0" xfId="0" applyAlignment="1">
      <x:alignment vertical="center"/>
    </x:xf>
    <x:xf numFmtId="0" fontId="33" fillId="13" borderId="0" xfId="0"/>
    <x:xf numFmtId="167" fontId="35" fillId="13" borderId="0" xfId="0"/>
    <x:xf numFmtId="3" fontId="13" fillId="0" borderId="0" xfId="0" applyAlignment="1">
      <x:alignment vertical="center"/>
    </x:xf>
    <x:xf numFmtId="167" fontId="13" fillId="0" borderId="0" xfId="0" applyAlignment="1">
      <x:alignment vertical="center"/>
    </x:xf>
    <x:xf numFmtId="1" fontId="35" fillId="13" borderId="0" xfId="0"/>
    <x:xf numFmtId="167" fontId="13" fillId="12" borderId="0" xfId="0" applyAlignment="1">
      <x:alignment vertical="center"/>
    </x:xf>
    <x:xf numFmtId="170" fontId="13" fillId="0" borderId="0" xfId="0" applyAlignment="1">
      <x:alignment vertical="center"/>
    </x:xf>
    <x:xf numFmtId="0" fontId="14" fillId="11" borderId="0" xfId="0" applyAlignment="1">
      <x:alignment vertical="center"/>
    </x:xf>
    <x:xf numFmtId="0" fontId="14" fillId="11" borderId="0" xfId="0" applyAlignment="1">
      <x:alignment vertical="center"/>
    </x:xf>
    <x:xf numFmtId="164" fontId="36" fillId="0" borderId="0" xfId="0" applyAlignment="1">
      <x:alignment vertical="center"/>
    </x:xf>
    <x:xf numFmtId="165" fontId="36" fillId="0" borderId="0" xfId="0" applyAlignment="1">
      <x:alignment vertical="center"/>
    </x:xf>
    <x:xf numFmtId="169" fontId="36" fillId="0" borderId="0" xfId="0" applyAlignment="1">
      <x:alignment vertical="center"/>
    </x:xf>
    <x:xf numFmtId="0" fontId="23" fillId="15" borderId="0" xfId="0" applyAlignment="1">
      <x:alignment horizontal="center" vertical="center"/>
    </x:xf>
    <x:xf numFmtId="0" fontId="13" fillId="15" borderId="0" xfId="0" applyAlignment="1">
      <x:alignment vertical="center"/>
    </x:xf>
    <x:xf numFmtId="0" fontId="26" fillId="15" borderId="0" xfId="0" applyAlignment="1">
      <x:alignment horizontal="center" vertical="center"/>
    </x:xf>
    <x:xf numFmtId="0" fontId="21" fillId="15" borderId="0" xfId="0" applyAlignment="1">
      <x:alignment vertical="center"/>
    </x:xf>
    <x:xf numFmtId="0" fontId="23" fillId="15" borderId="0" xfId="0" applyAlignment="1">
      <x:alignment vertical="center"/>
    </x:xf>
    <x:xf numFmtId="0" fontId="26" fillId="15" borderId="0" xfId="0" applyAlignment="1">
      <x:alignment vertical="center"/>
    </x:xf>
    <x:xf numFmtId="0" fontId="23" fillId="15" borderId="0" xfId="0" applyAlignment="1">
      <x:alignment vertical="center"/>
    </x:xf>
    <x:xf numFmtId="0" fontId="26" fillId="15" borderId="0" xfId="0" applyAlignment="1">
      <x:alignment vertical="center"/>
    </x:xf>
    <x:xf numFmtId="0" fontId="12" fillId="15" borderId="0" xfId="0" applyAlignment="1">
      <x:alignment vertical="center"/>
    </x:xf>
    <x:xf numFmtId="0" fontId="23" fillId="15" borderId="0" xfId="0"/>
    <x:xf numFmtId="0" fontId="26" fillId="15" borderId="0" xfId="0"/>
    <x:xf numFmtId="0" fontId="46" fillId="8" borderId="0" xfId="0" applyAlignment="1">
      <x:alignment horizontal="left" vertical="center"/>
    </x:xf>
    <x:xf numFmtId="0" fontId="42" fillId="15" borderId="0" xfId="0" applyAlignment="1">
      <x:alignment horizontal="center" vertical="center"/>
    </x:xf>
    <x:xf numFmtId="0" fontId="32" fillId="15" borderId="0" xfId="0" applyAlignment="1">
      <x:alignment horizontal="center" vertical="center"/>
    </x:xf>
    <x:xf numFmtId="170" fontId="32" fillId="15" borderId="0" xfId="0" applyAlignment="1">
      <x:alignment horizontal="center" vertical="center"/>
    </x:xf>
    <x:xf numFmtId="0" fontId="46" fillId="16" borderId="0" xfId="0" applyAlignment="1">
      <x:alignment horizontal="left" vertical="center"/>
    </x:xf>
    <x:xf numFmtId="0" fontId="24" fillId="16" borderId="0" xfId="0" applyAlignment="1">
      <x:alignment horizontal="left" vertical="center" wrapText="1"/>
    </x:xf>
    <x:xf numFmtId="0" fontId="40" fillId="16" borderId="0" xfId="0" applyAlignment="1">
      <x:alignment horizontal="left" vertical="center"/>
    </x:xf>
    <x:xf numFmtId="0" fontId="40" fillId="16" borderId="0" xfId="0" applyAlignment="1">
      <x:alignment horizontal="left" vertical="center" wrapText="1"/>
    </x:xf>
    <x:xf numFmtId="0" fontId="41" fillId="16" borderId="0" xfId="0"/>
    <x:xf numFmtId="0" fontId="41" fillId="16" borderId="0" xfId="0"/>
    <x:xf numFmtId="0" fontId="42" fillId="16" borderId="0" xfId="0" applyAlignment="1">
      <x:alignment horizontal="center" vertical="center"/>
    </x:xf>
    <x:xf numFmtId="0" fontId="42" fillId="16" borderId="0" xfId="0" applyAlignment="1">
      <x:alignment horizontal="center" vertical="center" wrapText="1"/>
    </x:xf>
    <x:xf numFmtId="0" fontId="32" fillId="16" borderId="0" xfId="0" applyAlignment="1">
      <x:alignment horizontal="center" vertical="center"/>
    </x:xf>
    <x:xf numFmtId="170" fontId="32" fillId="16" borderId="0" xfId="0" applyAlignment="1">
      <x:alignment horizontal="center" vertical="center"/>
    </x:xf>
    <x:xf numFmtId="0" fontId="32" fillId="16" borderId="0" xfId="0" applyAlignment="1">
      <x:alignment horizontal="center" vertical="center"/>
    </x:xf>
    <x:xf numFmtId="0" fontId="43" fillId="16" borderId="0" xfId="0" applyAlignment="1">
      <x:alignment horizontal="center" vertical="top"/>
    </x:xf>
    <x:xf numFmtId="0" fontId="43" fillId="16" borderId="0" xfId="0" applyAlignment="1">
      <x:alignment horizontal="center" vertical="top" wrapText="1"/>
    </x:xf>
    <x:xf numFmtId="164" fontId="32" fillId="16" borderId="0" xfId="0" applyAlignment="1">
      <x:alignment horizontal="center" vertical="center"/>
    </x:xf>
    <x:xf numFmtId="167" fontId="32" fillId="16" borderId="0" xfId="0" applyAlignment="1">
      <x:alignment horizontal="center" vertical="center"/>
    </x:xf>
    <x:xf numFmtId="0" fontId="23" fillId="16" borderId="0" xfId="0" applyAlignment="1">
      <x:alignment horizontal="left" vertical="center"/>
    </x:xf>
    <x:xf numFmtId="0" fontId="23" fillId="16" borderId="0" xfId="0" applyAlignment="1">
      <x:alignment horizontal="left" vertical="center" wrapText="1"/>
    </x:xf>
    <x:xf numFmtId="0" fontId="33" fillId="16" borderId="0" xfId="0" applyAlignment="1">
      <x:alignment horizontal="left" vertical="top"/>
    </x:xf>
    <x:xf numFmtId="0" fontId="33" fillId="16" borderId="0" xfId="0" applyAlignment="1">
      <x:alignment horizontal="left" vertical="top" wrapText="1"/>
    </x:xf>
    <x:xf numFmtId="0" fontId="44" fillId="16" borderId="0" xfId="0" applyAlignment="1">
      <x:alignment horizontal="center"/>
    </x:xf>
    <x:xf numFmtId="0" fontId="44" fillId="16" borderId="0" xfId="0" applyAlignment="1">
      <x:alignment horizontal="center"/>
    </x:xf>
    <x:xf numFmtId="0" fontId="47" fillId="16" borderId="0" xfId="0" applyAlignment="1">
      <x:alignment horizontal="left" vertical="center"/>
    </x:xf>
    <x:xf numFmtId="0" fontId="47" fillId="16" borderId="0" xfId="0" applyAlignment="1">
      <x:alignment horizontal="left" vertical="center" wrapText="1"/>
    </x:xf>
    <x:xf numFmtId="0" fontId="48" fillId="16" borderId="0" xfId="0" applyAlignment="1">
      <x:alignment horizontal="left" vertical="center"/>
    </x:xf>
    <x:xf numFmtId="0" fontId="48" fillId="16" borderId="0" xfId="0" applyAlignment="1">
      <x:alignment horizontal="left" vertical="center" wrapText="1"/>
    </x:xf>
    <x:xf numFmtId="0" fontId="49" fillId="16" borderId="0" xfId="0"/>
    <x:xf numFmtId="0" fontId="49" fillId="16" borderId="0" xfId="0"/>
    <x:xf numFmtId="0" fontId="47" fillId="16" borderId="0" xfId="0" applyAlignment="1">
      <x:alignment horizontal="center" vertical="center"/>
    </x:xf>
    <x:xf numFmtId="0" fontId="47" fillId="16" borderId="0" xfId="0" applyAlignment="1">
      <x:alignment horizontal="center" vertical="center" wrapText="1"/>
    </x:xf>
    <x:xf numFmtId="170" fontId="47" fillId="16" borderId="0" xfId="0" applyAlignment="1">
      <x:alignment horizontal="center" vertical="center"/>
    </x:xf>
    <x:xf numFmtId="0" fontId="47" fillId="16" borderId="0" xfId="0" applyAlignment="1">
      <x:alignment horizontal="center" vertical="center"/>
    </x:xf>
    <x:xf numFmtId="0" fontId="49" fillId="16" borderId="0" xfId="0" applyAlignment="1">
      <x:alignment horizontal="center" vertical="top"/>
    </x:xf>
    <x:xf numFmtId="0" fontId="49" fillId="16" borderId="0" xfId="0" applyAlignment="1">
      <x:alignment horizontal="center" vertical="top" wrapText="1"/>
    </x:xf>
    <x:xf numFmtId="164" fontId="47" fillId="16" borderId="0" xfId="0" applyAlignment="1">
      <x:alignment horizontal="center" vertical="center"/>
    </x:xf>
    <x:xf numFmtId="167" fontId="47" fillId="16" borderId="0" xfId="0" applyAlignment="1">
      <x:alignment horizontal="center" vertical="center"/>
    </x:xf>
    <x:xf numFmtId="0" fontId="49" fillId="16" borderId="0" xfId="0" applyAlignment="1">
      <x:alignment horizontal="left" vertical="top"/>
    </x:xf>
    <x:xf numFmtId="0" fontId="49" fillId="16" borderId="0" xfId="0" applyAlignment="1">
      <x:alignment horizontal="left" vertical="top" wrapText="1"/>
    </x:xf>
    <x:xf numFmtId="0" fontId="48" fillId="16" borderId="0" xfId="0" applyAlignment="1">
      <x:alignment horizontal="center"/>
    </x:xf>
    <x:xf numFmtId="0" fontId="48" fillId="16" borderId="0" xfId="0" applyAlignment="1">
      <x:alignment horizontal="center"/>
    </x:xf>
    <x:xf numFmtId="0" fontId="49" fillId="16" borderId="0" xfId="0" applyAlignment="1">
      <x:alignment wrapText="1"/>
    </x:xf>
    <x:xf numFmtId="170" fontId="47" fillId="16" borderId="0" xfId="0" applyAlignment="1">
      <x:alignment horizontal="center" vertical="center" wrapText="1"/>
    </x:xf>
    <x:xf numFmtId="164" fontId="47" fillId="16" borderId="0" xfId="0" applyAlignment="1">
      <x:alignment horizontal="center" vertical="center" wrapText="1"/>
    </x:xf>
    <x:xf numFmtId="167" fontId="47" fillId="16" borderId="0" xfId="0" applyAlignment="1">
      <x:alignment horizontal="center" vertical="center" wrapText="1"/>
    </x:xf>
    <x:xf numFmtId="0" fontId="48" fillId="16" borderId="0" xfId="0" applyAlignment="1">
      <x:alignment horizontal="center" wrapText="1"/>
    </x:xf>
    <x:xf numFmtId="0" fontId="49" fillId="16" borderId="0" xfId="0" applyAlignment="1">
      <x:alignment vertical="center" wrapText="1"/>
    </x:xf>
    <x:xf numFmtId="0" fontId="49" fillId="16" borderId="0" xfId="0" applyAlignment="1">
      <x:alignment horizontal="center" vertical="center" wrapText="1"/>
    </x:xf>
    <x:xf numFmtId="0" fontId="49" fillId="16" borderId="0" xfId="0" applyAlignment="1">
      <x:alignment horizontal="left" vertical="center" wrapText="1"/>
    </x:xf>
    <x:xf numFmtId="0" fontId="48" fillId="16" borderId="0" xfId="0" applyAlignment="1">
      <x:alignment horizontal="center" vertical="center" wrapText="1"/>
    </x:xf>
    <x:xf numFmtId="0" fontId="47" fillId="17" borderId="0" xfId="0" applyAlignment="1">
      <x:alignment horizontal="left" vertical="center" wrapText="1"/>
    </x:xf>
    <x:xf numFmtId="0" fontId="50" fillId="17" borderId="0" xfId="0" applyAlignment="1">
      <x:alignment horizontal="left" vertical="center" wrapText="1"/>
    </x:xf>
    <x:xf numFmtId="0" fontId="48" fillId="18" borderId="0" xfId="0" applyAlignment="1">
      <x:alignment horizontal="left" vertical="center" wrapText="1"/>
    </x:xf>
    <x:xf numFmtId="0" fontId="51" fillId="18" borderId="0" xfId="0" applyAlignment="1">
      <x:alignment horizontal="left" vertical="center" wrapText="1"/>
    </x:xf>
    <x:xf numFmtId="0" fontId="47" fillId="17" borderId="0" xfId="0" applyAlignment="1">
      <x:alignment horizontal="center" vertical="center" wrapText="1"/>
    </x:xf>
    <x:xf numFmtId="0" fontId="52" fillId="17" borderId="0" xfId="0" applyAlignment="1">
      <x:alignment horizontal="center" vertical="center" wrapText="1"/>
    </x:xf>
    <x:xf numFmtId="0" fontId="53" fillId="16" borderId="0" xfId="0" applyAlignment="1">
      <x:alignment horizontal="center" vertical="center" wrapText="1"/>
    </x:xf>
    <x:xf numFmtId="0" fontId="49" fillId="18" borderId="0" xfId="0" applyAlignment="1">
      <x:alignment horizontal="center" vertical="center" wrapText="1"/>
    </x:xf>
    <x:xf numFmtId="0" fontId="54" fillId="18" borderId="0" xfId="0" applyAlignment="1">
      <x:alignment horizontal="center" vertical="center" wrapText="1"/>
    </x:xf>
    <x:xf numFmtId="170" fontId="53" fillId="16" borderId="0" xfId="0" applyAlignment="1">
      <x:alignment horizontal="center" vertical="center" wrapText="1"/>
    </x:xf>
    <x:xf numFmtId="164" fontId="53" fillId="16" borderId="0" xfId="0" applyAlignment="1">
      <x:alignment horizontal="center" vertical="center" wrapText="1"/>
    </x:xf>
    <x:xf numFmtId="167" fontId="53" fillId="16" borderId="0" xfId="0" applyAlignment="1">
      <x:alignment horizontal="center" vertical="center" wrapText="1"/>
    </x:xf>
    <x:xf numFmtId="3" fontId="53" fillId="16" borderId="0" xfId="0" applyAlignment="1">
      <x:alignment horizontal="center" vertical="center" wrapText="1"/>
    </x:xf>
    <x:xf numFmtId="171" fontId="53" fillId="16" borderId="0" xfId="0" applyAlignment="1">
      <x:alignment horizontal="center" vertical="center" wrapText="1"/>
    </x:xf>
    <x:xf numFmtId="0" fontId="55" fillId="17" borderId="0" xfId="0" applyAlignment="1">
      <x:alignment horizontal="left" vertical="center" wrapText="1"/>
    </x:xf>
    <x:xf numFmtId="0" fontId="49" fillId="19" borderId="0" xfId="0" applyAlignment="1">
      <x:alignment horizontal="left" vertical="center" wrapText="1"/>
    </x:xf>
    <x:xf numFmtId="0" fontId="56" fillId="19" borderId="0" xfId="0" applyAlignment="1">
      <x:alignment horizontal="left" vertical="center" wrapText="1"/>
    </x:xf>
    <x:xf numFmtId="0" fontId="48" fillId="18" borderId="0" xfId="0" applyAlignment="1">
      <x:alignment horizontal="center" vertical="center" wrapText="1"/>
    </x:xf>
    <x:xf numFmtId="0" fontId="51" fillId="18" borderId="0" xfId="0" applyAlignment="1">
      <x:alignment horizontal="center" vertical="center" wrapText="1"/>
    </x:xf>
    <x:xf numFmtId="0" fontId="57" fillId="15" borderId="0" xfId="0" applyAlignment="1">
      <x:alignment horizontal="center" vertical="center"/>
    </x:xf>
    <x:xf numFmtId="0" fontId="57" fillId="15" borderId="0" xfId="0" applyAlignment="1">
      <x:alignment vertical="center"/>
    </x:xf>
    <x:xf numFmtId="0" fontId="58" fillId="12" borderId="0" xfId="0" applyAlignment="1">
      <x:alignment vertical="top"/>
    </x:xf>
    <x:xf numFmtId="0" fontId="58" fillId="12" borderId="0" xfId="0" applyAlignment="1">
      <x:alignment horizontal="center" vertical="top"/>
    </x:xf>
    <x:xf numFmtId="0" fontId="58" fillId="0" borderId="0" xfId="0" applyAlignment="1">
      <x:alignment vertical="center"/>
    </x:xf>
    <x:xf numFmtId="0" fontId="58" fillId="0" borderId="0" xfId="0" applyAlignment="1">
      <x:alignment vertical="top"/>
    </x:xf>
    <x:xf numFmtId="0" fontId="58" fillId="0" borderId="0" xfId="0" applyAlignment="1">
      <x:alignment horizontal="center" vertical="top"/>
    </x:xf>
    <x:xf numFmtId="0" fontId="57" fillId="17" borderId="0" xfId="0" applyAlignment="1">
      <x:alignment horizontal="center" vertical="center"/>
    </x:xf>
    <x:xf numFmtId="0" fontId="57" fillId="17" borderId="0" xfId="0" applyAlignment="1">
      <x:alignment vertical="center"/>
    </x:xf>
    <x:xf numFmtId="0" fontId="59" fillId="17" borderId="0" xfId="0" applyAlignment="1">
      <x:alignment horizontal="center" vertical="center"/>
    </x:xf>
    <x:xf numFmtId="0" fontId="59" fillId="17" borderId="0" xfId="0" applyAlignment="1">
      <x:alignment vertical="center"/>
    </x:xf>
    <x:xf numFmtId="0" fontId="59" fillId="17" borderId="0" xfId="0" applyAlignment="1">
      <x:alignment horizontal="center" vertical="center" wrapText="1"/>
    </x:xf>
    <x:xf numFmtId="0" fontId="59" fillId="17" borderId="0" xfId="0" applyAlignment="1">
      <x:alignment vertical="center" wrapText="1"/>
    </x:xf>
    <x:xf numFmtId="0" fontId="59" fillId="17" borderId="0" xfId="0" applyAlignment="1">
      <x:alignment horizontal="center" vertical="center" wrapText="1"/>
    </x:xf>
    <x:xf numFmtId="0" fontId="58" fillId="12" borderId="0" xfId="0" applyAlignment="1">
      <x:alignment vertical="top" wrapText="1"/>
    </x:xf>
    <x:xf numFmtId="0" fontId="58" fillId="12" borderId="0" xfId="0" applyAlignment="1">
      <x:alignment horizontal="center" vertical="top" wrapText="1"/>
    </x:xf>
    <x:xf numFmtId="0" fontId="58" fillId="0" borderId="0" xfId="0" applyAlignment="1">
      <x:alignment vertical="center" wrapText="1"/>
    </x:xf>
    <x:xf numFmtId="0" fontId="58" fillId="0" borderId="0" xfId="0" applyAlignment="1">
      <x:alignment vertical="top" wrapText="1"/>
    </x:xf>
    <x:xf numFmtId="0" fontId="58" fillId="0" borderId="0" xfId="0" applyAlignment="1">
      <x:alignment horizontal="center" vertical="top" wrapText="1"/>
    </x:xf>
    <x:xf numFmtId="0" fontId="58" fillId="12" borderId="0" xfId="0" applyAlignment="1">
      <x:alignment vertical="top"/>
    </x:xf>
    <x:xf numFmtId="0" fontId="58" fillId="0" borderId="0" xfId="0" applyAlignment="1">
      <x:alignment vertical="top"/>
    </x:xf>
    <x:xf numFmtId="0" fontId="58" fillId="12" borderId="0" xfId="0" applyAlignment="1">
      <x:alignment vertical="top" wrapText="1"/>
    </x:xf>
    <x:xf numFmtId="0" fontId="58" fillId="0" borderId="0" xfId="0" applyAlignment="1">
      <x:alignment vertical="top" wrapText="1"/>
    </x:xf>
    <x:xf numFmtId="0" fontId="57" fillId="15" borderId="0" xfId="0"/>
    <x:xf numFmtId="0" fontId="57" fillId="8" borderId="0" xfId="0" applyAlignment="1">
      <x:alignment wrapText="1"/>
    </x:xf>
    <x:xf numFmtId="0" fontId="58" fillId="12" borderId="0" xfId="0" applyAlignment="1">
      <x:alignment vertical="center"/>
    </x:xf>
    <x:xf numFmtId="3" fontId="58" fillId="12" borderId="0" xfId="0" applyAlignment="1">
      <x:alignment vertical="center"/>
    </x:xf>
    <x:xf numFmtId="0" fontId="58" fillId="13" borderId="0" xfId="0"/>
    <x:xf numFmtId="167" fontId="58" fillId="13" borderId="0" xfId="0"/>
    <x:xf numFmtId="0" fontId="58" fillId="13" borderId="0" xfId="0" applyAlignment="1">
      <x:alignment wrapText="1"/>
    </x:xf>
    <x:xf numFmtId="0" fontId="58" fillId="0" borderId="0" xfId="0" applyAlignment="1">
      <x:alignment vertical="center"/>
    </x:xf>
    <x:xf numFmtId="3" fontId="58" fillId="0" borderId="0" xfId="0" applyAlignment="1">
      <x:alignment vertical="center"/>
    </x:xf>
    <x:xf numFmtId="167" fontId="58" fillId="0" borderId="0" xfId="0" applyAlignment="1">
      <x:alignment vertical="center"/>
    </x:xf>
    <x:xf numFmtId="1" fontId="58" fillId="13" borderId="0" xfId="0"/>
    <x:xf numFmtId="167" fontId="58" fillId="12" borderId="0" xfId="0" applyAlignment="1">
      <x:alignment vertical="center"/>
    </x:xf>
    <x:xf numFmtId="170" fontId="58" fillId="0" borderId="0" xfId="0" applyAlignment="1">
      <x:alignment vertical="center"/>
    </x:xf>
    <x:xf numFmtId="0" fontId="60" fillId="11" borderId="0" xfId="0" applyAlignment="1">
      <x:alignment vertical="center"/>
    </x:xf>
    <x:xf numFmtId="0" fontId="60" fillId="11" borderId="0" xfId="0" applyAlignment="1">
      <x:alignment vertical="center"/>
    </x:xf>
    <x:xf numFmtId="0" fontId="60" fillId="11" borderId="0" xfId="0" applyAlignment="1">
      <x:alignment vertical="center" wrapText="1"/>
    </x:xf>
    <x:xf numFmtId="0" fontId="57" fillId="8" borderId="0" xfId="0" applyAlignment="1">
      <x:alignment horizontal="center" vertical="center"/>
    </x:xf>
    <x:xf numFmtId="0" fontId="57" fillId="8" borderId="0" xfId="0" applyAlignment="1">
      <x:alignment vertical="center"/>
    </x:xf>
    <x:xf numFmtId="164" fontId="58" fillId="0" borderId="0" xfId="0" applyAlignment="1">
      <x:alignment vertical="center"/>
    </x:xf>
    <x:xf numFmtId="165" fontId="58" fillId="0" borderId="0" xfId="0" applyAlignment="1">
      <x:alignment vertical="center"/>
    </x:xf>
    <x:xf numFmtId="169" fontId="58" fillId="0" borderId="0" xfId="0" applyAlignment="1">
      <x:alignment vertical="center"/>
    </x:xf>
    <x:xf numFmtId="0" fontId="57" fillId="17" borderId="0" xfId="0"/>
    <x:xf numFmtId="0" fontId="57" fillId="17" borderId="0" xfId="0" applyAlignment="1">
      <x:alignment wrapText="1"/>
    </x:xf>
    <x:xf numFmtId="0" fontId="59" fillId="17" borderId="0" xfId="0"/>
    <x:xf numFmtId="0" fontId="59" fillId="17" borderId="0" xfId="0" applyAlignment="1">
      <x:alignment wrapText="1"/>
    </x:xf>
    <x:xf numFmtId="0" fontId="59" fillId="17" borderId="0" xfId="0" applyAlignment="1">
      <x:alignment horizontal="center" wrapText="1"/>
    </x:xf>
    <x:xf numFmtId="0" fontId="58" fillId="12" borderId="0" xfId="0" applyAlignment="1">
      <x:alignment vertical="center" wrapText="1"/>
    </x:xf>
    <x:xf numFmtId="3" fontId="58" fillId="12" borderId="0" xfId="0" applyAlignment="1">
      <x:alignment vertical="center" wrapText="1"/>
    </x:xf>
    <x:xf numFmtId="167" fontId="58" fillId="13" borderId="0" xfId="0" applyAlignment="1">
      <x:alignment wrapText="1"/>
    </x:xf>
    <x:xf numFmtId="0" fontId="58" fillId="0" borderId="0" xfId="0" applyAlignment="1">
      <x:alignment vertical="center" wrapText="1"/>
    </x:xf>
    <x:xf numFmtId="3" fontId="58" fillId="0" borderId="0" xfId="0" applyAlignment="1">
      <x:alignment vertical="center" wrapText="1"/>
    </x:xf>
    <x:xf numFmtId="167" fontId="58" fillId="0" borderId="0" xfId="0" applyAlignment="1">
      <x:alignment vertical="center" wrapText="1"/>
    </x:xf>
    <x:xf numFmtId="1" fontId="58" fillId="13" borderId="0" xfId="0" applyAlignment="1">
      <x:alignment wrapText="1"/>
    </x:xf>
    <x:xf numFmtId="167" fontId="58" fillId="12" borderId="0" xfId="0" applyAlignment="1">
      <x:alignment vertical="center" wrapText="1"/>
    </x:xf>
    <x:xf numFmtId="170" fontId="58" fillId="0" borderId="0" xfId="0" applyAlignment="1">
      <x:alignment vertical="center" wrapText="1"/>
    </x:xf>
    <x:xf numFmtId="0" fontId="58" fillId="18" borderId="0" xfId="0" applyAlignment="1">
      <x:alignment vertical="center"/>
    </x:xf>
    <x:xf numFmtId="0" fontId="60" fillId="18" borderId="0" xfId="0" applyAlignment="1">
      <x:alignment vertical="center"/>
    </x:xf>
    <x:xf numFmtId="0" fontId="60" fillId="18" borderId="0" xfId="0" applyAlignment="1">
      <x:alignment vertical="center"/>
    </x:xf>
    <x:xf numFmtId="0" fontId="60" fillId="18" borderId="0" xfId="0" applyAlignment="1">
      <x:alignment vertical="center" wrapText="1"/>
    </x:xf>
    <x:xf numFmtId="0" fontId="54" fillId="18" borderId="0" xfId="0" applyAlignment="1">
      <x:alignment vertical="center"/>
    </x:xf>
    <x:xf numFmtId="0" fontId="51" fillId="18" borderId="0" xfId="0" applyAlignment="1">
      <x:alignment vertical="center"/>
    </x:xf>
    <x:xf numFmtId="0" fontId="51" fillId="18" borderId="0" xfId="0" applyAlignment="1">
      <x:alignment vertical="center"/>
    </x:xf>
    <x:xf numFmtId="0" fontId="51" fillId="18" borderId="0" xfId="0" applyAlignment="1">
      <x:alignment vertical="center" wrapText="1"/>
    </x:xf>
    <x:xf numFmtId="0" fontId="54" fillId="18" borderId="0" xfId="0" applyAlignment="1">
      <x:alignment vertical="center" wrapText="1"/>
    </x:xf>
    <x:xf numFmtId="0" fontId="51" fillId="18" borderId="0" xfId="0" applyAlignment="1">
      <x:alignment vertical="center" wrapText="1"/>
    </x:xf>
    <x:xf numFmtId="0" fontId="54" fillId="18" borderId="0" xfId="0" applyAlignment="1">
      <x:alignment horizontal="left" vertical="center" wrapText="1"/>
    </x:xf>
    <x:xf numFmtId="0" fontId="51" fillId="18" borderId="0" xfId="0" applyAlignment="1">
      <x:alignment horizontal="left" vertical="center" wrapText="1"/>
    </x:xf>
    <x:xf numFmtId="0" fontId="57" fillId="17" borderId="0" xfId="0" applyAlignment="1">
      <x:alignment vertical="center"/>
    </x:xf>
    <x:xf numFmtId="0" fontId="59" fillId="17" borderId="0" xfId="0" applyAlignment="1">
      <x:alignment vertical="center"/>
    </x:xf>
    <x:xf numFmtId="0" fontId="59" fillId="17" borderId="0" xfId="0" applyAlignment="1">
      <x:alignment vertical="center" wrapText="1"/>
    </x:xf>
    <x:xf numFmtId="164" fontId="58" fillId="0" borderId="0" xfId="0" applyAlignment="1">
      <x:alignment vertical="center" wrapText="1"/>
    </x:xf>
    <x:xf numFmtId="165" fontId="58" fillId="0" borderId="0" xfId="0" applyAlignment="1">
      <x:alignment vertical="center" wrapText="1"/>
    </x:xf>
    <x:xf numFmtId="169" fontId="58" fillId="0" borderId="0" xfId="0" applyAlignment="1">
      <x:alignment vertical="center" wrapText="1"/>
    </x:xf>
    <x:xf numFmtId="0" fontId="57" fillId="8" borderId="0" xfId="0" applyAlignment="1">
      <x:alignment horizontal="center" vertical="center" wrapText="1"/>
    </x:xf>
    <x:xf numFmtId="0" fontId="57" fillId="17" borderId="0" xfId="0" applyAlignment="1">
      <x:alignment horizontal="center" vertical="center" wrapText="1"/>
    </x:xf>
    <x:xf numFmtId="1" fontId="58" fillId="12" borderId="0" xfId="0" applyAlignment="1">
      <x:alignment horizontal="center" vertical="top" wrapText="1"/>
    </x:xf>
    <x:xf numFmtId="1" fontId="58" fillId="0" borderId="0" xfId="0" applyAlignment="1">
      <x:alignment horizontal="center" vertical="top" wrapText="1"/>
    </x:xf>
    <x:xf numFmtId="0" fontId="57" fillId="4" borderId="0" xfId="0" applyAlignment="1">
      <x:alignment horizontal="center" vertical="center" wrapText="1"/>
    </x:xf>
    <x:xf numFmtId="0" fontId="58" fillId="17" borderId="0" xfId="0" applyAlignment="1">
      <x:alignment vertical="center" wrapText="1"/>
    </x:xf>
    <x:xf numFmtId="0" fontId="57" fillId="8" borderId="0" xfId="0" applyAlignment="1">
      <x:alignment vertical="center" wrapText="1"/>
    </x:xf>
    <x:xf numFmtId="0" fontId="57" fillId="14" borderId="0" xfId="0" applyAlignment="1">
      <x:alignment vertical="center" wrapText="1"/>
    </x:xf>
    <x:xf numFmtId="0" fontId="57" fillId="20" borderId="0" xfId="0" applyAlignment="1">
      <x:alignment vertical="center" wrapText="1"/>
    </x:xf>
    <x:xf numFmtId="0" fontId="55" fillId="20" borderId="0" xfId="0" applyAlignment="1">
      <x:alignment vertical="center" wrapText="1"/>
    </x:xf>
    <x:xf numFmtId="0" fontId="55" fillId="20" borderId="0" xfId="0" applyAlignment="1">
      <x:alignment horizontal="left" vertical="center" wrapText="1"/>
    </x:xf>
    <x:xf numFmtId="0" fontId="57" fillId="17" borderId="0" xfId="0" applyAlignment="1">
      <x:alignment vertical="center" wrapText="1"/>
    </x:xf>
    <x:xf numFmtId="0" fontId="55" fillId="17" borderId="0" xfId="0" applyAlignment="1">
      <x:alignment vertical="center" wrapText="1"/>
    </x:xf>
    <x:xf numFmtId="0" fontId="55" fillId="17" borderId="0" xfId="0" applyAlignment="1">
      <x:alignment horizontal="left" vertical="center" wrapText="1"/>
    </x:xf>
    <x:xf numFmtId="0" fontId="55" fillId="21" borderId="0" xfId="0" applyAlignment="1">
      <x:alignment horizontal="left" vertical="center" wrapText="1"/>
    </x:xf>
    <x:xf numFmtId="0" fontId="57" fillId="21" borderId="0" xfId="0" applyAlignment="1">
      <x:alignment vertical="center" wrapText="1"/>
    </x:xf>
    <x:xf numFmtId="0" fontId="58" fillId="21" borderId="0" xfId="0" applyAlignment="1">
      <x:alignment vertical="top" wrapText="1"/>
    </x:xf>
    <x:xf numFmtId="0" fontId="59" fillId="21" borderId="0" xfId="0" applyAlignment="1">
      <x:alignment horizontal="left" vertical="center" wrapText="1"/>
    </x:xf>
    <x:xf numFmtId="0" fontId="59" fillId="21" borderId="0" xfId="0" applyAlignment="1">
      <x:alignment vertical="center" wrapText="1"/>
    </x:xf>
    <x:xf numFmtId="0" fontId="61" fillId="21" borderId="0" xfId="0" applyAlignment="1">
      <x:alignment vertical="top" wrapText="1"/>
    </x:xf>
    <x:xf numFmtId="0" fontId="61" fillId="21" borderId="0" xfId="0" applyAlignment="1">
      <x:alignment vertical="center" wrapText="1"/>
    </x:xf>
    <x:xf numFmtId="0" fontId="59" fillId="22" borderId="0" xfId="0" applyAlignment="1">
      <x:alignment horizontal="left" vertical="center" wrapText="1"/>
    </x:xf>
    <x:xf numFmtId="0" fontId="62" fillId="22" borderId="0" xfId="0" applyAlignment="1">
      <x:alignment horizontal="left" vertical="center" wrapText="1"/>
    </x:xf>
    <x:xf numFmtId="0" fontId="59" fillId="23" borderId="0" xfId="0" applyAlignment="1">
      <x:alignment vertical="center" wrapText="1"/>
    </x:xf>
    <x:xf numFmtId="0" fontId="52" fillId="23" borderId="0" xfId="0" applyAlignment="1">
      <x:alignment vertical="center" wrapText="1"/>
    </x:xf>
    <x:xf numFmtId="0" fontId="52" fillId="23" borderId="0" xfId="0" applyAlignment="1">
      <x:alignment horizontal="left" vertical="center" wrapText="1"/>
    </x:xf>
    <x:xf numFmtId="0" fontId="61" fillId="21" borderId="0" xfId="0" applyAlignment="1">
      <x:alignment horizontal="left" vertical="center" wrapText="1"/>
    </x:xf>
    <x:xf numFmtId="0" fontId="55" fillId="16" borderId="0" xfId="0" applyAlignment="1">
      <x:alignment horizontal="left" vertical="center" wrapText="1"/>
    </x:xf>
    <x:xf numFmtId="0" fontId="57" fillId="16" borderId="0" xfId="0" applyAlignment="1">
      <x:alignment vertical="center" wrapText="1"/>
    </x:xf>
    <x:xf numFmtId="0" fontId="58" fillId="16" borderId="0" xfId="0" applyAlignment="1">
      <x:alignment vertical="top" wrapText="1"/>
    </x:xf>
    <x:xf numFmtId="0" fontId="59" fillId="16" borderId="0" xfId="0" applyAlignment="1">
      <x:alignment horizontal="left" vertical="center" wrapText="1"/>
    </x:xf>
    <x:xf numFmtId="0" fontId="59" fillId="16" borderId="0" xfId="0" applyAlignment="1">
      <x:alignment vertical="center" wrapText="1"/>
    </x:xf>
    <x:xf numFmtId="0" fontId="61" fillId="16" borderId="0" xfId="0" applyAlignment="1">
      <x:alignment vertical="top" wrapText="1"/>
    </x:xf>
    <x:xf numFmtId="0" fontId="61" fillId="16" borderId="0" xfId="0" applyAlignment="1">
      <x:alignment vertical="center" wrapText="1"/>
    </x:xf>
    <x:xf numFmtId="0" fontId="59" fillId="17" borderId="0" xfId="0" applyAlignment="1">
      <x:alignment horizontal="left" vertical="center" wrapText="1"/>
    </x:xf>
    <x:xf numFmtId="0" fontId="62" fillId="17" borderId="0" xfId="0" applyAlignment="1">
      <x:alignment horizontal="left" vertical="center" wrapText="1"/>
    </x:xf>
    <x:xf numFmtId="0" fontId="61" fillId="16" borderId="0" xfId="0" applyAlignment="1">
      <x:alignment horizontal="left" vertical="center" wrapText="1"/>
    </x:xf>
    <x:xf numFmtId="0" fontId="62" fillId="24" borderId="0" xfId="0" applyAlignment="1">
      <x:alignment horizontal="left" vertical="center" wrapText="1"/>
    </x:xf>
    <x:xf numFmtId="0" fontId="52" fillId="24" borderId="0" xfId="0" applyAlignment="1">
      <x:alignment horizontal="left" vertical="center" wrapText="1"/>
    </x:xf>
    <x:xf numFmtId="0" fontId="61" fillId="24" borderId="0" xfId="0" applyAlignment="1">
      <x:alignment horizontal="left" vertical="center" wrapText="1"/>
    </x:xf>
    <x:xf numFmtId="0" fontId="59" fillId="24" borderId="0" xfId="0" applyAlignment="1">
      <x:alignment horizontal="left" vertical="center" wrapText="1"/>
    </x:xf>
    <x:xf numFmtId="0" fontId="59" fillId="25" borderId="0" xfId="0" applyAlignment="1">
      <x:alignment horizontal="left" vertical="center" wrapText="1"/>
    </x:xf>
    <x:xf numFmtId="0" fontId="62" fillId="25" borderId="0" xfId="0" applyAlignment="1">
      <x:alignment horizontal="left" vertical="center" wrapText="1"/>
    </x:xf>
    <x:xf numFmtId="0" fontId="59" fillId="26" borderId="0" xfId="0" applyAlignment="1">
      <x:alignment horizontal="left" vertical="center" wrapText="1"/>
    </x:xf>
    <x:xf numFmtId="0" fontId="52" fillId="26" borderId="0" xfId="0" applyAlignment="1">
      <x:alignment horizontal="left" vertical="center" wrapText="1"/>
    </x:xf>
    <x:xf numFmtId="0" fontId="50" fillId="17" borderId="1" xfId="0" applyAlignment="1">
      <x:alignment horizontal="left" vertical="center" wrapText="1"/>
    </x:xf>
    <x:xf numFmtId="0" fontId="51" fillId="18" borderId="1" xfId="0" applyAlignment="1">
      <x:alignment horizontal="left" vertical="center" wrapText="1"/>
    </x:xf>
    <x:xf numFmtId="0" fontId="52" fillId="17" borderId="1" xfId="0" applyAlignment="1">
      <x:alignment horizontal="center" vertical="center" wrapText="1"/>
    </x:xf>
    <x:xf numFmtId="0" fontId="53" fillId="16" borderId="1" xfId="0" applyAlignment="1">
      <x:alignment horizontal="center" vertical="center" wrapText="1"/>
    </x:xf>
    <x:xf numFmtId="170" fontId="53" fillId="16" borderId="1" xfId="0" applyAlignment="1">
      <x:alignment horizontal="center" vertical="center" wrapText="1"/>
    </x:xf>
    <x:xf numFmtId="0" fontId="54" fillId="18" borderId="1" xfId="0" applyAlignment="1">
      <x:alignment horizontal="center" vertical="center" wrapText="1"/>
    </x:xf>
    <x:xf numFmtId="3" fontId="53" fillId="16" borderId="1" xfId="0" applyAlignment="1">
      <x:alignment horizontal="center" vertical="center" wrapText="1"/>
    </x:xf>
    <x:xf numFmtId="171" fontId="53" fillId="16" borderId="1" xfId="0" applyAlignment="1">
      <x:alignment horizontal="center" vertical="center" wrapText="1"/>
    </x:xf>
    <x:xf numFmtId="0" fontId="55" fillId="17" borderId="1" xfId="0" applyAlignment="1">
      <x:alignment horizontal="left" vertical="center" wrapText="1"/>
    </x:xf>
    <x:xf numFmtId="0" fontId="56" fillId="19" borderId="1" xfId="0" applyAlignment="1">
      <x:alignment horizontal="left" vertical="center" wrapText="1"/>
    </x:xf>
    <x:xf numFmtId="1" fontId="33" fillId="12" borderId="0" xfId="0" applyAlignment="1">
      <x:alignment vertical="top"/>
    </x:xf>
    <x:xf numFmtId="1" fontId="33" fillId="0" borderId="0" xfId="0" applyAlignment="1">
      <x:alignment vertical="top"/>
    </x:xf>
    <x:xf numFmtId="1" fontId="32" fillId="12" borderId="0" xfId="0" applyAlignment="1">
      <x:alignment vertical="top"/>
    </x:xf>
    <x:xf numFmtId="1" fontId="13" fillId="0" borderId="0" xfId="0" applyAlignment="1">
      <x:alignment vertical="center"/>
    </x:xf>
    <x:xf numFmtId="1" fontId="13" fillId="0" borderId="0" xfId="0" applyAlignment="1">
      <x:alignment vertical="center" wrapText="1"/>
    </x:xf>
    <x:xf numFmtId="1" fontId="58" fillId="12" borderId="0" xfId="0" applyAlignment="1">
      <x:alignment horizontal="center" vertical="top" wrapText="1"/>
    </x:xf>
    <x:xf numFmtId="1" fontId="58" fillId="0" borderId="0" xfId="0" applyAlignment="1">
      <x:alignment horizontal="center" vertical="top" wrapText="1"/>
    </x:xf>
    <x:xf numFmtId="3" fontId="58" fillId="12" borderId="0" xfId="0" applyAlignment="1">
      <x:alignment vertical="center" wrapText="1"/>
    </x:xf>
    <x:xf numFmtId="167" fontId="58" fillId="13" borderId="0" xfId="0" applyAlignment="1">
      <x:alignment wrapText="1"/>
    </x:xf>
    <x:xf numFmtId="3" fontId="58" fillId="0" borderId="0" xfId="0" applyAlignment="1">
      <x:alignment vertical="center" wrapText="1"/>
    </x:xf>
    <x:xf numFmtId="167" fontId="58" fillId="0" borderId="0" xfId="0" applyAlignment="1">
      <x:alignment vertical="center" wrapText="1"/>
    </x:xf>
    <x:xf numFmtId="1" fontId="58" fillId="13" borderId="0" xfId="0" applyAlignment="1">
      <x:alignment wrapText="1"/>
    </x:xf>
    <x:xf numFmtId="167" fontId="58" fillId="12" borderId="0" xfId="0" applyAlignment="1">
      <x:alignment vertical="center" wrapText="1"/>
    </x:xf>
    <x:xf numFmtId="170" fontId="58" fillId="0" borderId="0" xfId="0" applyAlignment="1">
      <x:alignment vertical="center" wrapText="1"/>
    </x:xf>
    <x:xf numFmtId="0" fontId="54" fillId="18" borderId="1" xfId="0" applyAlignment="1">
      <x:alignment horizontal="left" vertical="center" wrapText="1"/>
    </x:xf>
    <x:xf numFmtId="164" fontId="58" fillId="0" borderId="0" xfId="0" applyAlignment="1">
      <x:alignment vertical="center" wrapText="1"/>
    </x:xf>
    <x:xf numFmtId="165" fontId="58" fillId="0" borderId="0" xfId="0" applyAlignment="1">
      <x:alignment vertical="center" wrapText="1"/>
    </x:xf>
    <x:xf numFmtId="169" fontId="58" fillId="0" borderId="0" xfId="0" applyAlignment="1">
      <x:alignment vertical="center" wrapText="1"/>
    </x:xf>
    <x:xf numFmtId="0" fontId="62" fillId="25" borderId="1" xfId="0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164" fontId="7" fillId="0" borderId="0" xfId="0" applyNumberFormat="1" applyFont="1" applyFill="1" applyBorder="1" applyAlignment="1">
      <x:alignment vertical="top" wrapText="1"/>
    </x:xf>
    <x:xf numFmtId="165" fontId="7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2" fillId="3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/>
    </x:xf>
    <x:xf numFmtId="0" fontId="13" fillId="0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top" wrapText="1"/>
    </x:xf>
    <x:xf numFmtId="0" fontId="13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vertical="top" wrapText="1"/>
    </x:xf>
    <x:xf numFmtId="165" fontId="13" fillId="0" borderId="0" xfId="0" applyNumberFormat="1" applyFont="1" applyFill="1" applyBorder="1" applyAlignment="1">
      <x:alignment vertical="top" wrapText="1"/>
    </x:xf>
    <x:xf numFmtId="164" fontId="13" fillId="0" borderId="0" xfId="0" applyNumberFormat="1" applyFont="1" applyFill="1" applyBorder="1" applyAlignment="1">
      <x:alignment vertical="center" wrapText="1"/>
    </x:xf>
    <x:xf numFmtId="165" fontId="13" fillId="0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left" vertical="center"/>
    </x:xf>
    <x:xf numFmtId="0" fontId="13" fillId="7" borderId="0" xfId="0" applyNumberFormat="1" applyFont="1" applyFill="1" applyBorder="1" applyAlignment="1">
      <x:alignment vertical="center"/>
    </x:xf>
    <x:xf numFmtId="0" fontId="17" fillId="7" borderId="0" xfId="0" applyNumberFormat="1" applyFont="1" applyFill="1" applyBorder="1" applyAlignment="1">
      <x:alignment horizontal="left" vertical="center"/>
    </x:xf>
    <x:xf numFmtId="0" fontId="17" fillId="7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4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horizontal="center" vertical="center" wrapText="1"/>
    </x:xf>
    <x:xf numFmtId="0" fontId="23" fillId="2" borderId="0" xfId="0" applyNumberFormat="1" applyFont="1" applyFill="1" applyBorder="1" applyAlignment="1">
      <x:alignment vertical="center"/>
    </x:xf>
    <x:xf numFmtId="0" fontId="23" fillId="2" borderId="0" xfId="0" applyNumberFormat="1" applyFont="1" applyFill="1" applyBorder="1" applyAlignment="1">
      <x:alignment vertical="center" wrapText="1"/>
    </x:xf>
    <x:xf numFmtId="166" fontId="13" fillId="0" borderId="0" xfId="0" applyNumberFormat="1" applyFont="1" applyFill="1" applyBorder="1" applyAlignment="1">
      <x:alignment vertical="center" wrapText="1"/>
    </x:xf>
    <x:xf numFmtId="3" fontId="13" fillId="0" borderId="0" xfId="0" applyNumberFormat="1" applyFont="1" applyFill="1" applyBorder="1" applyAlignment="1">
      <x:alignment vertical="center" wrapText="1"/>
    </x:xf>
    <x:xf numFmtId="1" fontId="13" fillId="0" borderId="0" xfId="0" applyNumberFormat="1" applyFont="1" applyFill="1" applyBorder="1" applyAlignment="1">
      <x:alignment vertical="center" wrapText="1"/>
    </x:xf>
    <x:xf numFmtId="1" fontId="12" fillId="5" borderId="0" xfId="0" applyNumberFormat="1" applyFont="1" applyFill="1" applyBorder="1" applyAlignment="1">
      <x:alignment vertical="center" wrapText="1"/>
    </x:xf>
    <x:xf numFmtId="1" fontId="13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4" fillId="8" borderId="0" xfId="0" applyNumberFormat="1" applyFont="1" applyFill="1" applyBorder="1"/>
    <x:xf numFmtId="0" fontId="24" fillId="8" borderId="0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horizontal="left" wrapText="1"/>
    </x:xf>
    <x:xf numFmtId="0" fontId="24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25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horizontal="left" wrapText="1"/>
    </x:xf>
    <x:xf numFmtId="0" fontId="25" fillId="9" borderId="0" xfId="0" applyNumberFormat="1" applyFont="1" applyFill="1" applyBorder="1" applyAlignment="1">
      <x:alignment horizontal="left" vertical="center" wrapText="1"/>
    </x:xf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horizontal="left" wrapText="1"/>
    </x:xf>
    <x:xf numFmtId="0" fontId="26" fillId="8" borderId="0" xfId="0" applyNumberFormat="1" applyFont="1" applyFill="1" applyBorder="1" applyAlignment="1">
      <x:alignment horizontal="left" vertical="center" wrapText="1"/>
    </x:xf>
    <x:xf numFmtId="0" fontId="26" fillId="10" borderId="0" xfId="0" applyNumberFormat="1" applyFont="1" applyFill="1" applyBorder="1" applyAlignment="1">
      <x:alignment horizontal="left" vertical="center" wrapText="1"/>
    </x:xf>
    <x:xf numFmtId="0" fontId="27" fillId="10" borderId="0" xfId="0" applyNumberFormat="1" applyFont="1" applyFill="1" applyBorder="1" applyAlignment="1">
      <x:alignment horizontal="left" vertical="center" wrapText="1"/>
    </x:xf>
    <x:xf numFmtId="0" fontId="27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8" fillId="11" borderId="0" xfId="0" applyNumberFormat="1" applyFont="1" applyFill="1" applyBorder="1"/>
    <x:xf numFmtId="0" fontId="28" fillId="11" borderId="0" xfId="0" applyNumberFormat="1" applyFont="1" applyFill="1" applyBorder="1" applyAlignment="1">
      <x:alignment horizontal="center"/>
    </x:xf>
    <x:xf numFmtId="0" fontId="28" fillId="11" borderId="0" xfId="0" applyNumberFormat="1" applyFont="1" applyFill="1" applyBorder="1" applyAlignment="1">
      <x:alignment horizontal="center" vertical="center"/>
    </x:xf>
    <x:xf numFmtId="0" fontId="29" fillId="11" borderId="0" xfId="0" applyNumberFormat="1" applyFont="1" applyFill="1" applyBorder="1"/>
    <x:xf numFmtId="0" fontId="29" fillId="11" borderId="0" xfId="0" applyNumberFormat="1" applyFont="1" applyFill="1" applyBorder="1" applyAlignment="1">
      <x:alignment wrapText="1"/>
    </x:xf>
    <x:xf numFmtId="0" fontId="29" fillId="11" borderId="0" xfId="0" applyNumberFormat="1" applyFont="1" applyFill="1" applyBorder="1" applyAlignment="1">
      <x:alignment horizontal="center" wrapText="1"/>
    </x:xf>
    <x:xf numFmtId="0" fontId="29" fillId="11" borderId="0" xfId="0" applyNumberFormat="1" applyFont="1" applyFill="1" applyBorder="1" applyAlignment="1">
      <x:alignment horizontal="center" vertical="top" wrapText="1"/>
    </x:xf>
    <x:xf numFmtId="0" fontId="30" fillId="11" borderId="0" xfId="0" applyNumberFormat="1" applyFont="1" applyFill="1" applyBorder="1"/>
    <x:xf numFmtId="0" fontId="30" fillId="11" borderId="0" xfId="0" applyNumberFormat="1" applyFont="1" applyFill="1" applyBorder="1" applyAlignment="1">
      <x:alignment wrapText="1"/>
    </x:xf>
    <x:xf numFmtId="0" fontId="30" fillId="11" borderId="0" xfId="0" applyNumberFormat="1" applyFont="1" applyFill="1" applyBorder="1" applyAlignment="1">
      <x:alignment horizontal="left" wrapText="1"/>
    </x:xf>
    <x:xf numFmtId="0" fontId="30" fillId="11" borderId="0" xfId="0" applyNumberFormat="1" applyFont="1" applyFill="1" applyBorder="1" applyAlignment="1">
      <x:alignment horizontal="left"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0" fontId="32" fillId="2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wrapText="1"/>
    </x:xf>
    <x:xf numFmtId="0" fontId="33" fillId="0" borderId="0" xfId="0" applyNumberFormat="1" applyFont="1" applyFill="1" applyBorder="1" applyAlignment="1">
      <x:alignment vertical="center" wrapText="1"/>
    </x:xf>
    <x:xf numFmtId="1" fontId="33" fillId="0" borderId="0" xfId="0" applyNumberFormat="1" applyFont="1" applyFill="1" applyBorder="1" applyAlignment="1">
      <x:alignment vertical="center" wrapText="1"/>
    </x:xf>
    <x:xf numFmtId="1" fontId="33" fillId="0" borderId="0" xfId="0" applyNumberFormat="1" applyFont="1" applyFill="1" applyBorder="1" applyAlignment="1">
      <x:alignment wrapText="1"/>
    </x:xf>
    <x:xf numFmtId="0" fontId="32" fillId="5" borderId="0" xfId="0" applyNumberFormat="1" applyFont="1" applyFill="1" applyBorder="1" applyAlignment="1">
      <x:alignment vertical="center" wrapText="1"/>
    </x:xf>
    <x:xf numFmtId="1" fontId="32" fillId="5" borderId="0" xfId="0" applyNumberFormat="1" applyFont="1" applyFill="1" applyBorder="1" applyAlignment="1">
      <x:alignment vertical="center" wrapText="1"/>
    </x:xf>
    <x:xf numFmtId="0" fontId="32" fillId="8" borderId="0" xfId="0" applyNumberFormat="1" applyFont="1" applyFill="1" applyBorder="1" applyAlignment="1">
      <x:alignment horizontal="center" vertical="center" wrapText="1"/>
    </x:xf>
    <x:xf numFmtId="0" fontId="33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horizontal="center" vertical="center" wrapText="1"/>
    </x:xf>
    <x:xf numFmtId="0" fontId="26" fillId="8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vertical="top" wrapText="1"/>
    </x:xf>
    <x:xf numFmtId="1" fontId="33" fillId="0" borderId="0" xfId="0" applyNumberFormat="1" applyFont="1" applyFill="1" applyBorder="1" applyAlignment="1">
      <x:alignment vertical="top" wrapText="1"/>
    </x:xf>
    <x:xf numFmtId="0" fontId="32" fillId="5" borderId="0" xfId="0" applyNumberFormat="1" applyFont="1" applyFill="1" applyBorder="1" applyAlignment="1">
      <x:alignment vertical="top" wrapText="1"/>
    </x:xf>
    <x:xf numFmtId="1" fontId="32" fillId="5" borderId="0" xfId="0" applyNumberFormat="1" applyFont="1" applyFill="1" applyBorder="1" applyAlignment="1">
      <x:alignment vertical="top" wrapText="1"/>
    </x:xf>
    <x:xf numFmtId="0" fontId="33" fillId="12" borderId="0" xfId="0" applyNumberFormat="1" applyFont="1" applyFill="1" applyBorder="1" applyAlignment="1">
      <x:alignment vertical="top" wrapText="1"/>
    </x:xf>
    <x:xf numFmtId="1" fontId="33" fillId="12" borderId="0" xfId="0" applyNumberFormat="1" applyFont="1" applyFill="1" applyBorder="1" applyAlignment="1">
      <x:alignment vertical="top" wrapText="1"/>
    </x:xf>
    <x:xf numFmtId="0" fontId="32" fillId="12" borderId="0" xfId="0" applyNumberFormat="1" applyFont="1" applyFill="1" applyBorder="1" applyAlignment="1">
      <x:alignment vertical="top" wrapText="1"/>
    </x:xf>
    <x:xf numFmtId="1" fontId="32" fillId="12" borderId="0" xfId="0" applyNumberFormat="1" applyFont="1" applyFill="1" applyBorder="1" applyAlignment="1">
      <x:alignment vertical="top" wrapText="1"/>
    </x:xf>
    <x:xf numFmtId="0" fontId="33" fillId="0" borderId="0" xfId="0" applyNumberFormat="1" applyFont="1" applyFill="1" applyBorder="1" applyAlignment="1">
      <x:alignment vertical="center"/>
    </x:xf>
    <x:xf numFmtId="1" fontId="33" fillId="0" borderId="0" xfId="0" applyNumberFormat="1" applyFont="1" applyFill="1" applyBorder="1" applyAlignment="1">
      <x:alignment horizontal="center" vertical="center" wrapText="1"/>
    </x:xf>
    <x:xf numFmtId="0" fontId="33" fillId="8" borderId="0" xfId="0" applyNumberFormat="1" applyFont="1" applyFill="1" applyBorder="1" applyAlignment="1">
      <x:alignment vertical="center"/>
    </x:xf>
    <x:xf numFmtId="0" fontId="26" fillId="8" borderId="0" xfId="0" applyNumberFormat="1" applyFont="1" applyFill="1" applyBorder="1" applyAlignment="1">
      <x:alignment vertical="center"/>
    </x:xf>
    <x:xf numFmtId="1" fontId="33" fillId="0" borderId="0" xfId="0" applyNumberFormat="1" applyFont="1" applyFill="1" applyBorder="1" applyAlignment="1">
      <x:alignment horizontal="center" vertical="top" wrapText="1"/>
    </x:xf>
    <x:xf numFmtId="1" fontId="33" fillId="12" borderId="0" xfId="0" applyNumberFormat="1" applyFont="1" applyFill="1" applyBorder="1" applyAlignment="1">
      <x:alignment horizontal="center" vertical="top" wrapText="1"/>
    </x:xf>
    <x:xf numFmtId="0" fontId="32" fillId="4" borderId="0" xfId="0" applyNumberFormat="1" applyFont="1" applyFill="1" applyBorder="1" applyAlignment="1">
      <x:alignment horizontal="center" vertical="center" wrapText="1"/>
    </x:xf>
    <x:xf numFmtId="0" fontId="33" fillId="8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4" fillId="13" borderId="0" xfId="0" applyNumberFormat="1" applyFont="1" applyFill="1" applyBorder="1"/>
    <x:xf numFmtId="0" fontId="34" fillId="13" borderId="0" xfId="0" applyNumberFormat="1" applyFont="1" applyFill="1" applyBorder="1" applyAlignment="1">
      <x:alignment wrapText="1"/>
    </x:xf>
    <x:xf numFmtId="0" fontId="35" fillId="13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center" wrapText="1"/>
    </x:xf>
    <x:xf numFmtId="167" fontId="13" fillId="0" borderId="0" xfId="0" applyNumberFormat="1" applyFont="1" applyFill="1" applyBorder="1" applyAlignment="1">
      <x:alignment vertical="center" wrapText="1"/>
    </x:xf>
    <x:xf numFmtId="168" fontId="13" fillId="0" borderId="0" xfId="0" applyNumberFormat="1" applyFont="1" applyFill="1" applyBorder="1" applyAlignment="1">
      <x:alignment vertical="center" wrapText="1"/>
    </x:xf>
    <x:xf numFmtId="164" fontId="36" fillId="0" borderId="0" xfId="0" applyNumberFormat="1" applyFont="1" applyFill="1" applyBorder="1" applyAlignment="1">
      <x:alignment vertical="center" wrapText="1"/>
    </x:xf>
    <x:xf numFmtId="165" fontId="36" fillId="0" borderId="0" xfId="0" applyNumberFormat="1" applyFont="1" applyFill="1" applyBorder="1" applyAlignment="1">
      <x:alignment vertical="center" wrapText="1"/>
    </x:xf>
    <x:xf numFmtId="169" fontId="36" fillId="0" borderId="0" xfId="0" applyNumberFormat="1" applyFont="1" applyFill="1" applyBorder="1" applyAlignment="1">
      <x:alignment vertical="center" wrapText="1"/>
    </x:xf>
    <x:xf numFmtId="167" fontId="35" fillId="13" borderId="0" xfId="0" applyNumberFormat="1" applyFont="1" applyFill="1" applyBorder="1" applyAlignment="1">
      <x:alignment wrapText="1"/>
    </x:xf>
    <x:xf numFmtId="1" fontId="35" fillId="13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  <x:xf numFmtId="3" fontId="13" fillId="12" borderId="0" xfId="0" applyNumberFormat="1" applyFont="1" applyFill="1" applyBorder="1" applyAlignment="1">
      <x:alignment vertical="center" wrapText="1"/>
    </x:xf>
    <x:xf numFmtId="167" fontId="13" fillId="12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/>
    <x:xf numFmtId="0" fontId="33" fillId="8" borderId="0" xfId="0" applyNumberFormat="1" applyFont="1" applyFill="1" applyBorder="1"/>
    <x:xf numFmtId="0" fontId="33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 vertical="top" wrapText="1"/>
    </x:xf>
    <x:xf numFmtId="0" fontId="33" fillId="12" borderId="0" xfId="0" applyNumberFormat="1" applyFont="1" applyFill="1" applyBorder="1" applyAlignment="1">
      <x:alignment horizontal="center" vertical="top" wrapText="1"/>
    </x:xf>
    <x:xf numFmtId="0" fontId="33" fillId="12" borderId="0" xfId="0" applyNumberFormat="1" applyFont="1" applyFill="1" applyBorder="1" applyAlignment="1">
      <x:alignment vertical="center" wrapText="1"/>
    </x:xf>
    <x:xf numFmtId="0" fontId="32" fillId="2" borderId="0" xfId="0" applyNumberFormat="1" applyFont="1" applyFill="1" applyBorder="1" applyAlignment="1">
      <x:alignment vertical="center" wrapText="1"/>
    </x:xf>
    <x:xf numFmtId="0" fontId="32" fillId="8" borderId="0" xfId="0" applyNumberFormat="1" applyFont="1" applyFill="1" applyBorder="1" applyAlignment="1">
      <x:alignment vertical="center" wrapText="1"/>
    </x:xf>
    <x:xf numFmtId="0" fontId="37" fillId="8" borderId="0" xfId="0" applyNumberFormat="1" applyFont="1" applyFill="1" applyBorder="1" applyAlignment="1">
      <x:alignment vertical="center" wrapText="1"/>
    </x:xf>
    <x:xf numFmtId="0" fontId="33" fillId="14" borderId="0" xfId="0" applyNumberFormat="1" applyFont="1" applyFill="1" applyBorder="1" applyAlignment="1">
      <x:alignment vertical="center" wrapText="1"/>
    </x:xf>
    <x:xf numFmtId="0" fontId="27" fillId="14" borderId="0" xfId="0" applyNumberFormat="1" applyFont="1" applyFill="1" applyBorder="1" applyAlignment="1">
      <x:alignment vertical="center" wrapText="1"/>
    </x:xf>
    <x:xf numFmtId="0" fontId="38" fillId="4" borderId="0" xfId="0" applyNumberFormat="1" applyFont="1" applyFill="1" applyBorder="1" applyAlignment="1">
      <x:alignment horizontal="center" vertical="center" wrapText="1"/>
    </x:xf>
    <x:xf numFmtId="0" fontId="34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 applyAlignment="1">
      <x:alignment vertical="center" wrapText="1"/>
    </x:xf>
    <x:xf numFmtId="0" fontId="38" fillId="8" borderId="0" xfId="0" applyNumberFormat="1" applyFont="1" applyFill="1" applyBorder="1" applyAlignment="1">
      <x:alignment horizontal="center" vertical="center" wrapText="1"/>
    </x:xf>
    <x:xf numFmtId="0" fontId="34" fillId="8" borderId="0" xfId="0" applyNumberFormat="1" applyFont="1" applyFill="1" applyBorder="1" applyAlignment="1">
      <x:alignment vertical="center"/>
    </x:xf>
    <x:xf numFmtId="170" fontId="28" fillId="11" borderId="0" xfId="0" applyNumberFormat="1" applyFont="1" applyFill="1" applyBorder="1" applyAlignment="1">
      <x:alignment horizontal="center" vertical="center"/>
    </x:xf>
    <x:xf numFmtId="164" fontId="28" fillId="11" borderId="0" xfId="0" applyNumberFormat="1" applyFont="1" applyFill="1" applyBorder="1" applyAlignment="1">
      <x:alignment horizontal="center" vertical="center"/>
    </x:xf>
    <x:xf numFmtId="167" fontId="28" fillId="11" borderId="0" xfId="0" applyNumberFormat="1" applyFont="1" applyFill="1" applyBorder="1" applyAlignment="1">
      <x:alignment horizontal="center" vertical="center"/>
    </x:xf>
    <x:xf numFmtId="170" fontId="13" fillId="0" borderId="0" xfId="0" applyNumberFormat="1" applyFont="1" applyFill="1" applyBorder="1" applyAlignment="1">
      <x:alignment vertical="center" wrapText="1"/>
    </x:xf>
    <x:xf numFmtId="0" fontId="39" fillId="0" borderId="0" xfId="0" applyNumberFormat="1" applyFont="1" applyFill="1" applyBorder="1"/>
    <x:xf numFmtId="0" fontId="23" fillId="8" borderId="0" xfId="0" applyNumberFormat="1" applyFont="1" applyFill="1" applyBorder="1" applyAlignment="1">
      <x:alignment horizontal="left" vertical="center" wrapText="1"/>
    </x:xf>
    <x:xf numFmtId="0" fontId="40" fillId="9" borderId="0" xfId="0" applyNumberFormat="1" applyFont="1" applyFill="1" applyBorder="1" applyAlignment="1">
      <x:alignment horizontal="left" vertical="center" wrapText="1"/>
    </x:xf>
    <x:xf numFmtId="0" fontId="41" fillId="0" borderId="0" xfId="0" applyNumberFormat="1" applyFont="1" applyFill="1" applyBorder="1"/>
    <x:xf numFmtId="0" fontId="42" fillId="10" borderId="0" xfId="0" applyNumberFormat="1" applyFont="1" applyFill="1" applyBorder="1" applyAlignment="1">
      <x:alignment horizontal="center" vertical="center" wrapText="1"/>
    </x:xf>
    <x:xf numFmtId="0" fontId="32" fillId="11" borderId="0" xfId="0" applyNumberFormat="1" applyFont="1" applyFill="1" applyBorder="1" applyAlignment="1">
      <x:alignment horizontal="center" vertical="center"/>
    </x:xf>
    <x:xf numFmtId="170" fontId="32" fillId="11" borderId="0" xfId="0" applyNumberFormat="1" applyFont="1" applyFill="1" applyBorder="1" applyAlignment="1">
      <x:alignment horizontal="center" vertical="center"/>
    </x:xf>
    <x:xf numFmtId="0" fontId="43" fillId="11" borderId="0" xfId="0" applyNumberFormat="1" applyFont="1" applyFill="1" applyBorder="1" applyAlignment="1">
      <x:alignment horizontal="center" vertical="top" wrapText="1"/>
    </x:xf>
    <x:xf numFmtId="164" fontId="32" fillId="11" borderId="0" xfId="0" applyNumberFormat="1" applyFont="1" applyFill="1" applyBorder="1" applyAlignment="1">
      <x:alignment horizontal="center" vertical="center"/>
    </x:xf>
    <x:xf numFmtId="167" fontId="32" fillId="11" borderId="0" xfId="0" applyNumberFormat="1" applyFont="1" applyFill="1" applyBorder="1" applyAlignment="1">
      <x:alignment horizontal="center" vertical="center"/>
    </x:xf>
    <x:xf numFmtId="0" fontId="33" fillId="11" borderId="0" xfId="0" applyNumberFormat="1" applyFont="1" applyFill="1" applyBorder="1" applyAlignment="1">
      <x:alignment horizontal="left" vertical="top" wrapText="1"/>
    </x:xf>
    <x:xf numFmtId="0" fontId="44" fillId="0" borderId="0" xfId="0" applyNumberFormat="1" applyFont="1" applyFill="1" applyBorder="1" applyAlignment="1">
      <x:alignment horizontal="center"/>
    </x:xf>
    <x:xf numFmtId="0" fontId="23" fillId="8" borderId="0" xfId="0" applyNumberFormat="1" applyFont="1" applyFill="1" applyBorder="1" applyAlignment="1">
      <x:alignment horizontal="center" vertical="center" wrapText="1"/>
    </x:xf>
    <x:xf numFmtId="0" fontId="23" fillId="8" borderId="0" xfId="0" applyNumberFormat="1" applyFont="1" applyFill="1" applyBorder="1" applyAlignment="1">
      <x:alignment vertical="center" wrapText="1"/>
    </x:xf>
    <x:xf numFmtId="0" fontId="23" fillId="8" borderId="0" xfId="0" applyNumberFormat="1" applyFont="1" applyFill="1" applyBorder="1" applyAlignment="1">
      <x:alignment wrapText="1"/>
    </x:xf>
    <x:xf numFmtId="0" fontId="33" fillId="13" borderId="0" xfId="0" applyNumberFormat="1" applyFont="1" applyFill="1" applyBorder="1" applyAlignment="1">
      <x:alignment wrapText="1"/>
    </x:xf>
    <x:xf numFmtId="0" fontId="42" fillId="14" borderId="0" xfId="0" applyNumberFormat="1" applyFont="1" applyFill="1" applyBorder="1" applyAlignment="1">
      <x:alignment vertical="center" wrapText="1"/>
    </x:xf>
    <x:xf numFmtId="0" fontId="24" fillId="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45" fillId="0" borderId="0" xfId="0" applyNumberFormat="1" applyFont="1" applyFill="1" applyBorder="1" applyAlignment="1">
      <x:alignment vertical="center" wrapText="1"/>
    </x:xf>
    <x:xf numFmtId="0" fontId="45" fillId="11" borderId="0" xfId="0" applyNumberFormat="1" applyFont="1" applyFill="1" applyBorder="1" applyAlignment="1">
      <x:alignment vertical="center" wrapText="1"/>
    </x:xf>
    <x:xf numFmtId="0" fontId="23" fillId="8" borderId="0" xfId="0" applyNumberFormat="1" applyFont="1" applyFill="1" applyBorder="1" applyAlignment="1">
      <x:alignment horizontal="left" vertical="center"/>
    </x:xf>
    <x:xf numFmtId="0" fontId="40" fillId="9" borderId="0" xfId="0" applyNumberFormat="1" applyFont="1" applyFill="1" applyBorder="1" applyAlignment="1">
      <x:alignment horizontal="left" vertical="center"/>
    </x:xf>
    <x:xf numFmtId="0" fontId="42" fillId="10" borderId="0" xfId="0" applyNumberFormat="1" applyFont="1" applyFill="1" applyBorder="1" applyAlignment="1">
      <x:alignment horizontal="center" vertical="center"/>
    </x:xf>
    <x:xf numFmtId="0" fontId="43" fillId="11" borderId="0" xfId="0" applyNumberFormat="1" applyFont="1" applyFill="1" applyBorder="1" applyAlignment="1">
      <x:alignment horizontal="center" vertical="top"/>
    </x:xf>
    <x:xf numFmtId="0" fontId="33" fillId="11" borderId="0" xfId="0" applyNumberFormat="1" applyFont="1" applyFill="1" applyBorder="1" applyAlignment="1">
      <x:alignment horizontal="left" vertical="top"/>
    </x:xf>
    <x:xf numFmtId="0" fontId="23" fillId="8" borderId="0" xfId="0" applyNumberFormat="1" applyFont="1" applyFill="1" applyBorder="1" applyAlignment="1">
      <x:alignment horizontal="center" vertical="center"/>
    </x:xf>
    <x:xf numFmtId="0" fontId="33" fillId="12" borderId="0" xfId="0" applyNumberFormat="1" applyFont="1" applyFill="1" applyBorder="1" applyAlignment="1">
      <x:alignment vertical="top"/>
    </x:xf>
    <x:xf numFmtId="0" fontId="33" fillId="12" borderId="0" xfId="0" applyNumberFormat="1" applyFont="1" applyFill="1" applyBorder="1" applyAlignment="1">
      <x:alignment horizontal="center" vertical="top"/>
    </x:xf>
    <x:xf numFmtId="0" fontId="33" fillId="0" borderId="0" xfId="0" applyNumberFormat="1" applyFont="1" applyFill="1" applyBorder="1" applyAlignment="1">
      <x:alignment vertical="top"/>
    </x:xf>
    <x:xf numFmtId="0" fontId="33" fillId="0" borderId="0" xfId="0" applyNumberFormat="1" applyFont="1" applyFill="1" applyBorder="1" applyAlignment="1">
      <x:alignment horizontal="center" vertical="top"/>
    </x:xf>
    <x:xf numFmtId="0" fontId="23" fillId="8" borderId="0" xfId="0" applyNumberFormat="1" applyFont="1" applyFill="1" applyBorder="1" applyAlignment="1">
      <x:alignment vertical="center"/>
    </x:xf>
    <x:xf numFmtId="1" fontId="33" fillId="12" borderId="0" xfId="0" applyNumberFormat="1" applyFont="1" applyFill="1" applyBorder="1" applyAlignment="1">
      <x:alignment vertical="top"/>
    </x:xf>
    <x:xf numFmtId="1" fontId="33" fillId="0" borderId="0" xfId="0" applyNumberFormat="1" applyFont="1" applyFill="1" applyBorder="1" applyAlignment="1">
      <x:alignment vertical="top"/>
    </x:xf>
    <x:xf numFmtId="0" fontId="32" fillId="12" borderId="0" xfId="0" applyNumberFormat="1" applyFont="1" applyFill="1" applyBorder="1" applyAlignment="1">
      <x:alignment vertical="top"/>
    </x:xf>
    <x:xf numFmtId="1" fontId="32" fillId="12" borderId="0" xfId="0" applyNumberFormat="1" applyFont="1" applyFill="1" applyBorder="1" applyAlignment="1">
      <x:alignment vertical="top"/>
    </x:xf>
    <x:xf numFmtId="1" fontId="13" fillId="0" borderId="0" xfId="0" applyNumberFormat="1" applyFont="1" applyFill="1" applyBorder="1" applyAlignment="1">
      <x:alignment vertical="center"/>
    </x:xf>
    <x:xf numFmtId="0" fontId="33" fillId="12" borderId="0" xfId="0" applyNumberFormat="1" applyFont="1" applyFill="1" applyBorder="1" applyAlignment="1">
      <x:alignment vertical="center"/>
    </x:xf>
    <x:xf numFmtId="0" fontId="42" fillId="14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 wrapText="1"/>
    </x:xf>
    <x:xf numFmtId="0" fontId="23" fillId="2" borderId="0" xfId="0" applyNumberFormat="1" applyFont="1" applyFill="1" applyBorder="1" applyAlignment="1">
      <x:alignment horizontal="center" vertical="center"/>
    </x:xf>
    <x:xf numFmtId="0" fontId="23" fillId="8" borderId="0" xfId="0" applyNumberFormat="1" applyFont="1" applyFill="1" applyBorder="1"/>
    <x:xf numFmtId="0" fontId="13" fillId="12" borderId="0" xfId="0" applyNumberFormat="1" applyFont="1" applyFill="1" applyBorder="1" applyAlignment="1">
      <x:alignment vertical="center"/>
    </x:xf>
    <x:xf numFmtId="3" fontId="13" fillId="12" borderId="0" xfId="0" applyNumberFormat="1" applyFont="1" applyFill="1" applyBorder="1" applyAlignment="1">
      <x:alignment vertical="center"/>
    </x:xf>
    <x:xf numFmtId="0" fontId="33" fillId="13" borderId="0" xfId="0" applyNumberFormat="1" applyFont="1" applyFill="1" applyBorder="1"/>
    <x:xf numFmtId="167" fontId="35" fillId="13" borderId="0" xfId="0" applyNumberFormat="1" applyFont="1" applyFill="1" applyBorder="1"/>
    <x:xf numFmtId="3" fontId="13" fillId="0" borderId="0" xfId="0" applyNumberFormat="1" applyFont="1" applyFill="1" applyBorder="1" applyAlignment="1">
      <x:alignment vertical="center"/>
    </x:xf>
    <x:xf numFmtId="167" fontId="13" fillId="0" borderId="0" xfId="0" applyNumberFormat="1" applyFont="1" applyFill="1" applyBorder="1" applyAlignment="1">
      <x:alignment vertical="center"/>
    </x:xf>
    <x:xf numFmtId="1" fontId="35" fillId="13" borderId="0" xfId="0" applyNumberFormat="1" applyFont="1" applyFill="1" applyBorder="1"/>
    <x:xf numFmtId="167" fontId="13" fillId="12" borderId="0" xfId="0" applyNumberFormat="1" applyFont="1" applyFill="1" applyBorder="1" applyAlignment="1">
      <x:alignment vertical="center"/>
    </x:xf>
    <x:xf numFmtId="170" fontId="13" fillId="0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/>
    </x:xf>
    <x:xf numFmtId="164" fontId="36" fillId="0" borderId="0" xfId="0" applyNumberFormat="1" applyFont="1" applyFill="1" applyBorder="1" applyAlignment="1">
      <x:alignment vertical="center"/>
    </x:xf>
    <x:xf numFmtId="165" fontId="36" fillId="0" borderId="0" xfId="0" applyNumberFormat="1" applyFont="1" applyFill="1" applyBorder="1" applyAlignment="1">
      <x:alignment vertical="center"/>
    </x:xf>
    <x:xf numFmtId="169" fontId="36" fillId="0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 applyAlignment="1">
      <x:alignment horizontal="center" vertical="center"/>
    </x:xf>
    <x:xf numFmtId="0" fontId="13" fillId="15" borderId="0" xfId="0" applyNumberFormat="1" applyFont="1" applyFill="1" applyBorder="1" applyAlignment="1">
      <x:alignment vertical="center"/>
    </x:xf>
    <x:xf numFmtId="0" fontId="26" fillId="15" borderId="0" xfId="0" applyNumberFormat="1" applyFont="1" applyFill="1" applyBorder="1" applyAlignment="1">
      <x:alignment horizontal="center" vertical="center"/>
    </x:xf>
    <x:xf numFmtId="0" fontId="21" fillId="15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 applyAlignment="1">
      <x:alignment vertical="center"/>
    </x:xf>
    <x:xf numFmtId="0" fontId="26" fillId="15" borderId="0" xfId="0" applyNumberFormat="1" applyFont="1" applyFill="1" applyBorder="1" applyAlignment="1">
      <x:alignment vertical="center"/>
    </x:xf>
    <x:xf numFmtId="0" fontId="12" fillId="15" borderId="0" xfId="0" applyNumberFormat="1" applyFont="1" applyFill="1" applyBorder="1" applyAlignment="1">
      <x:alignment vertical="center"/>
    </x:xf>
    <x:xf numFmtId="0" fontId="23" fillId="15" borderId="0" xfId="0" applyNumberFormat="1" applyFont="1" applyFill="1" applyBorder="1"/>
    <x:xf numFmtId="0" fontId="26" fillId="15" borderId="0" xfId="0" applyNumberFormat="1" applyFont="1" applyFill="1" applyBorder="1"/>
    <x:xf numFmtId="0" fontId="46" fillId="8" borderId="0" xfId="0" applyNumberFormat="1" applyFont="1" applyFill="1" applyBorder="1" applyAlignment="1">
      <x:alignment horizontal="left" vertical="center"/>
    </x:xf>
    <x:xf numFmtId="0" fontId="42" fillId="15" borderId="0" xfId="0" applyNumberFormat="1" applyFont="1" applyFill="1" applyBorder="1" applyAlignment="1">
      <x:alignment horizontal="center" vertical="center"/>
    </x:xf>
    <x:xf numFmtId="0" fontId="32" fillId="15" borderId="0" xfId="0" applyNumberFormat="1" applyFont="1" applyFill="1" applyBorder="1" applyAlignment="1">
      <x:alignment horizontal="center" vertical="center"/>
    </x:xf>
    <x:xf numFmtId="170" fontId="32" fillId="15" borderId="0" xfId="0" applyNumberFormat="1" applyFont="1" applyFill="1" applyBorder="1" applyAlignment="1">
      <x:alignment horizontal="center" vertical="center"/>
    </x:xf>
    <x:xf numFmtId="0" fontId="46" fillId="16" borderId="0" xfId="0" applyNumberFormat="1" applyFont="1" applyFill="1" applyBorder="1" applyAlignment="1">
      <x:alignment horizontal="left" vertical="center"/>
    </x:xf>
    <x:xf numFmtId="0" fontId="24" fillId="16" borderId="0" xfId="0" applyNumberFormat="1" applyFont="1" applyFill="1" applyBorder="1" applyAlignment="1">
      <x:alignment horizontal="left" vertical="center" wrapText="1"/>
    </x:xf>
    <x:xf numFmtId="0" fontId="40" fillId="16" borderId="0" xfId="0" applyNumberFormat="1" applyFont="1" applyFill="1" applyBorder="1" applyAlignment="1">
      <x:alignment horizontal="left" vertical="center"/>
    </x:xf>
    <x:xf numFmtId="0" fontId="40" fillId="16" borderId="0" xfId="0" applyNumberFormat="1" applyFont="1" applyFill="1" applyBorder="1" applyAlignment="1">
      <x:alignment horizontal="left" vertical="center" wrapText="1"/>
    </x:xf>
    <x:xf numFmtId="0" fontId="41" fillId="16" borderId="0" xfId="0" applyNumberFormat="1" applyFont="1" applyFill="1" applyBorder="1"/>
    <x:xf numFmtId="0" fontId="42" fillId="16" borderId="0" xfId="0" applyNumberFormat="1" applyFont="1" applyFill="1" applyBorder="1" applyAlignment="1">
      <x:alignment horizontal="center" vertical="center"/>
    </x:xf>
    <x:xf numFmtId="0" fontId="42" fillId="16" borderId="0" xfId="0" applyNumberFormat="1" applyFont="1" applyFill="1" applyBorder="1" applyAlignment="1">
      <x:alignment horizontal="center" vertical="center" wrapText="1"/>
    </x:xf>
    <x:xf numFmtId="0" fontId="32" fillId="16" borderId="0" xfId="0" applyNumberFormat="1" applyFont="1" applyFill="1" applyBorder="1" applyAlignment="1">
      <x:alignment horizontal="center" vertical="center"/>
    </x:xf>
    <x:xf numFmtId="170" fontId="32" fillId="16" borderId="0" xfId="0" applyNumberFormat="1" applyFont="1" applyFill="1" applyBorder="1" applyAlignment="1">
      <x:alignment horizontal="center" vertical="center"/>
    </x:xf>
    <x:xf numFmtId="0" fontId="43" fillId="16" borderId="0" xfId="0" applyNumberFormat="1" applyFont="1" applyFill="1" applyBorder="1" applyAlignment="1">
      <x:alignment horizontal="center" vertical="top"/>
    </x:xf>
    <x:xf numFmtId="0" fontId="43" fillId="16" borderId="0" xfId="0" applyNumberFormat="1" applyFont="1" applyFill="1" applyBorder="1" applyAlignment="1">
      <x:alignment horizontal="center" vertical="top" wrapText="1"/>
    </x:xf>
    <x:xf numFmtId="164" fontId="32" fillId="16" borderId="0" xfId="0" applyNumberFormat="1" applyFont="1" applyFill="1" applyBorder="1" applyAlignment="1">
      <x:alignment horizontal="center" vertical="center"/>
    </x:xf>
    <x:xf numFmtId="167" fontId="32" fillId="16" borderId="0" xfId="0" applyNumberFormat="1" applyFont="1" applyFill="1" applyBorder="1" applyAlignment="1">
      <x:alignment horizontal="center" vertical="center"/>
    </x:xf>
    <x:xf numFmtId="0" fontId="23" fillId="16" borderId="0" xfId="0" applyNumberFormat="1" applyFont="1" applyFill="1" applyBorder="1" applyAlignment="1">
      <x:alignment horizontal="left" vertical="center"/>
    </x:xf>
    <x:xf numFmtId="0" fontId="23" fillId="16" borderId="0" xfId="0" applyNumberFormat="1" applyFont="1" applyFill="1" applyBorder="1" applyAlignment="1">
      <x:alignment horizontal="left" vertical="center" wrapText="1"/>
    </x:xf>
    <x:xf numFmtId="0" fontId="33" fillId="16" borderId="0" xfId="0" applyNumberFormat="1" applyFont="1" applyFill="1" applyBorder="1" applyAlignment="1">
      <x:alignment horizontal="left" vertical="top"/>
    </x:xf>
    <x:xf numFmtId="0" fontId="33" fillId="16" borderId="0" xfId="0" applyNumberFormat="1" applyFont="1" applyFill="1" applyBorder="1" applyAlignment="1">
      <x:alignment horizontal="left" vertical="top" wrapText="1"/>
    </x:xf>
    <x:xf numFmtId="0" fontId="44" fillId="16" borderId="0" xfId="0" applyNumberFormat="1" applyFont="1" applyFill="1" applyBorder="1" applyAlignment="1">
      <x:alignment horizontal="center"/>
    </x:xf>
    <x:xf numFmtId="0" fontId="47" fillId="16" borderId="0" xfId="0" applyNumberFormat="1" applyFont="1" applyFill="1" applyBorder="1" applyAlignment="1">
      <x:alignment horizontal="left" vertical="center"/>
    </x:xf>
    <x:xf numFmtId="0" fontId="47" fillId="16" borderId="0" xfId="0" applyNumberFormat="1" applyFont="1" applyFill="1" applyBorder="1" applyAlignment="1">
      <x:alignment horizontal="left" vertical="center" wrapText="1"/>
    </x:xf>
    <x:xf numFmtId="0" fontId="48" fillId="16" borderId="0" xfId="0" applyNumberFormat="1" applyFont="1" applyFill="1" applyBorder="1" applyAlignment="1">
      <x:alignment horizontal="left" vertical="center"/>
    </x:xf>
    <x:xf numFmtId="0" fontId="48" fillId="16" borderId="0" xfId="0" applyNumberFormat="1" applyFont="1" applyFill="1" applyBorder="1" applyAlignment="1">
      <x:alignment horizontal="left" vertical="center" wrapText="1"/>
    </x:xf>
    <x:xf numFmtId="0" fontId="49" fillId="16" borderId="0" xfId="0" applyNumberFormat="1" applyFont="1" applyFill="1" applyBorder="1"/>
    <x:xf numFmtId="0" fontId="47" fillId="16" borderId="0" xfId="0" applyNumberFormat="1" applyFont="1" applyFill="1" applyBorder="1" applyAlignment="1">
      <x:alignment horizontal="center" vertical="center"/>
    </x:xf>
    <x:xf numFmtId="0" fontId="47" fillId="16" borderId="0" xfId="0" applyNumberFormat="1" applyFont="1" applyFill="1" applyBorder="1" applyAlignment="1">
      <x:alignment horizontal="center" vertical="center" wrapText="1"/>
    </x:xf>
    <x:xf numFmtId="170" fontId="47" fillId="16" borderId="0" xfId="0" applyNumberFormat="1" applyFont="1" applyFill="1" applyBorder="1" applyAlignment="1">
      <x:alignment horizontal="center" vertical="center"/>
    </x:xf>
    <x:xf numFmtId="0" fontId="49" fillId="16" borderId="0" xfId="0" applyNumberFormat="1" applyFont="1" applyFill="1" applyBorder="1" applyAlignment="1">
      <x:alignment horizontal="center" vertical="top"/>
    </x:xf>
    <x:xf numFmtId="0" fontId="49" fillId="16" borderId="0" xfId="0" applyNumberFormat="1" applyFont="1" applyFill="1" applyBorder="1" applyAlignment="1">
      <x:alignment horizontal="center" vertical="top" wrapText="1"/>
    </x:xf>
    <x:xf numFmtId="164" fontId="47" fillId="16" borderId="0" xfId="0" applyNumberFormat="1" applyFont="1" applyFill="1" applyBorder="1" applyAlignment="1">
      <x:alignment horizontal="center" vertical="center"/>
    </x:xf>
    <x:xf numFmtId="167" fontId="47" fillId="16" borderId="0" xfId="0" applyNumberFormat="1" applyFont="1" applyFill="1" applyBorder="1" applyAlignment="1">
      <x:alignment horizontal="center" vertical="center"/>
    </x:xf>
    <x:xf numFmtId="0" fontId="49" fillId="16" borderId="0" xfId="0" applyNumberFormat="1" applyFont="1" applyFill="1" applyBorder="1" applyAlignment="1">
      <x:alignment horizontal="left" vertical="top"/>
    </x:xf>
    <x:xf numFmtId="0" fontId="49" fillId="16" borderId="0" xfId="0" applyNumberFormat="1" applyFont="1" applyFill="1" applyBorder="1" applyAlignment="1">
      <x:alignment horizontal="left" vertical="top" wrapText="1"/>
    </x:xf>
    <x:xf numFmtId="0" fontId="48" fillId="16" borderId="0" xfId="0" applyNumberFormat="1" applyFont="1" applyFill="1" applyBorder="1" applyAlignment="1">
      <x:alignment horizontal="center"/>
    </x:xf>
    <x:xf numFmtId="0" fontId="49" fillId="16" borderId="0" xfId="0" applyNumberFormat="1" applyFont="1" applyFill="1" applyBorder="1" applyAlignment="1">
      <x:alignment wrapText="1"/>
    </x:xf>
    <x:xf numFmtId="170" fontId="47" fillId="16" borderId="0" xfId="0" applyNumberFormat="1" applyFont="1" applyFill="1" applyBorder="1" applyAlignment="1">
      <x:alignment horizontal="center" vertical="center" wrapText="1"/>
    </x:xf>
    <x:xf numFmtId="164" fontId="47" fillId="16" borderId="0" xfId="0" applyNumberFormat="1" applyFont="1" applyFill="1" applyBorder="1" applyAlignment="1">
      <x:alignment horizontal="center" vertical="center" wrapText="1"/>
    </x:xf>
    <x:xf numFmtId="167" fontId="47" fillId="16" borderId="0" xfId="0" applyNumberFormat="1" applyFont="1" applyFill="1" applyBorder="1" applyAlignment="1">
      <x:alignment horizontal="center" vertical="center" wrapText="1"/>
    </x:xf>
    <x:xf numFmtId="0" fontId="48" fillId="16" borderId="0" xfId="0" applyNumberFormat="1" applyFont="1" applyFill="1" applyBorder="1" applyAlignment="1">
      <x:alignment horizontal="center" wrapText="1"/>
    </x:xf>
    <x:xf numFmtId="0" fontId="49" fillId="16" borderId="0" xfId="0" applyNumberFormat="1" applyFont="1" applyFill="1" applyBorder="1" applyAlignment="1">
      <x:alignment vertical="center" wrapText="1"/>
    </x:xf>
    <x:xf numFmtId="0" fontId="49" fillId="16" borderId="0" xfId="0" applyNumberFormat="1" applyFont="1" applyFill="1" applyBorder="1" applyAlignment="1">
      <x:alignment horizontal="center" vertical="center" wrapText="1"/>
    </x:xf>
    <x:xf numFmtId="0" fontId="49" fillId="16" borderId="0" xfId="0" applyNumberFormat="1" applyFont="1" applyFill="1" applyBorder="1" applyAlignment="1">
      <x:alignment horizontal="left" vertical="center" wrapText="1"/>
    </x:xf>
    <x:xf numFmtId="0" fontId="48" fillId="16" borderId="0" xfId="0" applyNumberFormat="1" applyFont="1" applyFill="1" applyBorder="1" applyAlignment="1">
      <x:alignment horizontal="center" vertical="center" wrapText="1"/>
    </x:xf>
    <x:xf numFmtId="0" fontId="47" fillId="17" borderId="0" xfId="0" applyNumberFormat="1" applyFont="1" applyFill="1" applyBorder="1" applyAlignment="1">
      <x:alignment horizontal="left" vertical="center" wrapText="1"/>
    </x:xf>
    <x:xf numFmtId="0" fontId="50" fillId="17" borderId="0" xfId="0" applyNumberFormat="1" applyFont="1" applyFill="1" applyBorder="1" applyAlignment="1">
      <x:alignment horizontal="left" vertical="center" wrapText="1"/>
    </x:xf>
    <x:xf numFmtId="0" fontId="48" fillId="18" borderId="0" xfId="0" applyNumberFormat="1" applyFont="1" applyFill="1" applyBorder="1" applyAlignment="1">
      <x:alignment horizontal="left" vertical="center" wrapText="1"/>
    </x:xf>
    <x:xf numFmtId="0" fontId="51" fillId="18" borderId="0" xfId="0" applyNumberFormat="1" applyFont="1" applyFill="1" applyBorder="1" applyAlignment="1">
      <x:alignment horizontal="left" vertical="center" wrapText="1"/>
    </x:xf>
    <x:xf numFmtId="0" fontId="47" fillId="17" borderId="0" xfId="0" applyNumberFormat="1" applyFont="1" applyFill="1" applyBorder="1" applyAlignment="1">
      <x:alignment horizontal="center" vertical="center" wrapText="1"/>
    </x:xf>
    <x:xf numFmtId="0" fontId="52" fillId="17" borderId="0" xfId="0" applyNumberFormat="1" applyFont="1" applyFill="1" applyBorder="1" applyAlignment="1">
      <x:alignment horizontal="center" vertical="center" wrapText="1"/>
    </x:xf>
    <x:xf numFmtId="0" fontId="53" fillId="16" borderId="0" xfId="0" applyNumberFormat="1" applyFont="1" applyFill="1" applyBorder="1" applyAlignment="1">
      <x:alignment horizontal="center" vertical="center" wrapText="1"/>
    </x:xf>
    <x:xf numFmtId="0" fontId="49" fillId="18" borderId="0" xfId="0" applyNumberFormat="1" applyFont="1" applyFill="1" applyBorder="1" applyAlignment="1">
      <x:alignment horizontal="center" vertical="center" wrapText="1"/>
    </x:xf>
    <x:xf numFmtId="0" fontId="54" fillId="18" borderId="0" xfId="0" applyNumberFormat="1" applyFont="1" applyFill="1" applyBorder="1" applyAlignment="1">
      <x:alignment horizontal="center" vertical="center" wrapText="1"/>
    </x:xf>
    <x:xf numFmtId="170" fontId="53" fillId="16" borderId="0" xfId="0" applyNumberFormat="1" applyFont="1" applyFill="1" applyBorder="1" applyAlignment="1">
      <x:alignment horizontal="center" vertical="center" wrapText="1"/>
    </x:xf>
    <x:xf numFmtId="164" fontId="53" fillId="16" borderId="0" xfId="0" applyNumberFormat="1" applyFont="1" applyFill="1" applyBorder="1" applyAlignment="1">
      <x:alignment horizontal="center" vertical="center" wrapText="1"/>
    </x:xf>
    <x:xf numFmtId="167" fontId="53" fillId="16" borderId="0" xfId="0" applyNumberFormat="1" applyFont="1" applyFill="1" applyBorder="1" applyAlignment="1">
      <x:alignment horizontal="center" vertical="center" wrapText="1"/>
    </x:xf>
    <x:xf numFmtId="3" fontId="53" fillId="16" borderId="0" xfId="0" applyNumberFormat="1" applyFont="1" applyFill="1" applyBorder="1" applyAlignment="1">
      <x:alignment horizontal="center" vertical="center" wrapText="1"/>
    </x:xf>
    <x:xf numFmtId="171" fontId="53" fillId="16" borderId="0" xfId="0" applyNumberFormat="1" applyFont="1" applyFill="1" applyBorder="1" applyAlignment="1">
      <x:alignment horizontal="center" vertical="center" wrapText="1"/>
    </x:xf>
    <x:xf numFmtId="0" fontId="55" fillId="17" borderId="0" xfId="0" applyNumberFormat="1" applyFont="1" applyFill="1" applyBorder="1" applyAlignment="1">
      <x:alignment horizontal="left" vertical="center" wrapText="1"/>
    </x:xf>
    <x:xf numFmtId="0" fontId="49" fillId="19" borderId="0" xfId="0" applyNumberFormat="1" applyFont="1" applyFill="1" applyBorder="1" applyAlignment="1">
      <x:alignment horizontal="left" vertical="center" wrapText="1"/>
    </x:xf>
    <x:xf numFmtId="0" fontId="56" fillId="19" borderId="0" xfId="0" applyNumberFormat="1" applyFont="1" applyFill="1" applyBorder="1" applyAlignment="1">
      <x:alignment horizontal="left" vertical="center" wrapText="1"/>
    </x:xf>
    <x:xf numFmtId="0" fontId="48" fillId="18" borderId="0" xfId="0" applyNumberFormat="1" applyFont="1" applyFill="1" applyBorder="1" applyAlignment="1">
      <x:alignment horizontal="center" vertical="center" wrapText="1"/>
    </x:xf>
    <x:xf numFmtId="0" fontId="51" fillId="18" borderId="0" xfId="0" applyNumberFormat="1" applyFont="1" applyFill="1" applyBorder="1" applyAlignment="1">
      <x:alignment horizontal="center" vertical="center" wrapText="1"/>
    </x:xf>
    <x:xf numFmtId="0" fontId="57" fillId="15" borderId="0" xfId="0" applyNumberFormat="1" applyFont="1" applyFill="1" applyBorder="1" applyAlignment="1">
      <x:alignment horizontal="center" vertical="center"/>
    </x:xf>
    <x:xf numFmtId="0" fontId="57" fillId="15" borderId="0" xfId="0" applyNumberFormat="1" applyFont="1" applyFill="1" applyBorder="1" applyAlignment="1">
      <x:alignment vertical="center"/>
    </x:xf>
    <x:xf numFmtId="0" fontId="58" fillId="12" borderId="0" xfId="0" applyNumberFormat="1" applyFont="1" applyFill="1" applyBorder="1" applyAlignment="1">
      <x:alignment vertical="top"/>
    </x:xf>
    <x:xf numFmtId="0" fontId="58" fillId="12" borderId="0" xfId="0" applyNumberFormat="1" applyFont="1" applyFill="1" applyBorder="1" applyAlignment="1">
      <x:alignment horizontal="center" vertical="top"/>
    </x:xf>
    <x:xf numFmtId="0" fontId="58" fillId="0" borderId="0" xfId="0" applyNumberFormat="1" applyFont="1" applyFill="1" applyBorder="1" applyAlignment="1">
      <x:alignment vertical="center"/>
    </x:xf>
    <x:xf numFmtId="0" fontId="58" fillId="0" borderId="0" xfId="0" applyNumberFormat="1" applyFont="1" applyFill="1" applyBorder="1" applyAlignment="1">
      <x:alignment vertical="top"/>
    </x:xf>
    <x:xf numFmtId="0" fontId="58" fillId="0" borderId="0" xfId="0" applyNumberFormat="1" applyFont="1" applyFill="1" applyBorder="1" applyAlignment="1">
      <x:alignment horizontal="center" vertical="top"/>
    </x:xf>
    <x:xf numFmtId="0" fontId="57" fillId="17" borderId="0" xfId="0" applyNumberFormat="1" applyFont="1" applyFill="1" applyBorder="1" applyAlignment="1">
      <x:alignment horizontal="center" vertical="center"/>
    </x:xf>
    <x:xf numFmtId="0" fontId="57" fillId="17" borderId="0" xfId="0" applyNumberFormat="1" applyFont="1" applyFill="1" applyBorder="1" applyAlignment="1">
      <x:alignment vertical="center"/>
    </x:xf>
    <x:xf numFmtId="0" fontId="59" fillId="17" borderId="0" xfId="0" applyNumberFormat="1" applyFont="1" applyFill="1" applyBorder="1" applyAlignment="1">
      <x:alignment horizontal="center" vertical="center"/>
    </x:xf>
    <x:xf numFmtId="0" fontId="59" fillId="17" borderId="0" xfId="0" applyNumberFormat="1" applyFont="1" applyFill="1" applyBorder="1" applyAlignment="1">
      <x:alignment vertical="center"/>
    </x:xf>
    <x:xf numFmtId="0" fontId="59" fillId="17" borderId="0" xfId="0" applyNumberFormat="1" applyFont="1" applyFill="1" applyBorder="1" applyAlignment="1">
      <x:alignment horizontal="center" vertical="center" wrapText="1"/>
    </x:xf>
    <x:xf numFmtId="0" fontId="59" fillId="17" borderId="0" xfId="0" applyNumberFormat="1" applyFont="1" applyFill="1" applyBorder="1" applyAlignment="1">
      <x:alignment vertical="center" wrapText="1"/>
    </x:xf>
    <x:xf numFmtId="0" fontId="58" fillId="12" borderId="0" xfId="0" applyNumberFormat="1" applyFont="1" applyFill="1" applyBorder="1" applyAlignment="1">
      <x:alignment vertical="top" wrapText="1"/>
    </x:xf>
    <x:xf numFmtId="0" fontId="58" fillId="12" borderId="0" xfId="0" applyNumberFormat="1" applyFont="1" applyFill="1" applyBorder="1" applyAlignment="1">
      <x:alignment horizontal="center" vertical="top" wrapText="1"/>
    </x:xf>
    <x:xf numFmtId="0" fontId="58" fillId="0" borderId="0" xfId="0" applyNumberFormat="1" applyFont="1" applyFill="1" applyBorder="1" applyAlignment="1">
      <x:alignment vertical="center" wrapText="1"/>
    </x:xf>
    <x:xf numFmtId="0" fontId="58" fillId="0" borderId="0" xfId="0" applyNumberFormat="1" applyFont="1" applyFill="1" applyBorder="1" applyAlignment="1">
      <x:alignment vertical="top" wrapText="1"/>
    </x:xf>
    <x:xf numFmtId="0" fontId="58" fillId="0" borderId="0" xfId="0" applyNumberFormat="1" applyFont="1" applyFill="1" applyBorder="1" applyAlignment="1">
      <x:alignment horizontal="center" vertical="top" wrapText="1"/>
    </x:xf>
    <x:xf numFmtId="0" fontId="57" fillId="15" borderId="0" xfId="0" applyNumberFormat="1" applyFont="1" applyFill="1" applyBorder="1"/>
    <x:xf numFmtId="0" fontId="57" fillId="8" borderId="0" xfId="0" applyNumberFormat="1" applyFont="1" applyFill="1" applyBorder="1" applyAlignment="1">
      <x:alignment wrapText="1"/>
    </x:xf>
    <x:xf numFmtId="0" fontId="58" fillId="12" borderId="0" xfId="0" applyNumberFormat="1" applyFont="1" applyFill="1" applyBorder="1" applyAlignment="1">
      <x:alignment vertical="center"/>
    </x:xf>
    <x:xf numFmtId="3" fontId="58" fillId="12" borderId="0" xfId="0" applyNumberFormat="1" applyFont="1" applyFill="1" applyBorder="1" applyAlignment="1">
      <x:alignment vertical="center"/>
    </x:xf>
    <x:xf numFmtId="0" fontId="58" fillId="13" borderId="0" xfId="0" applyNumberFormat="1" applyFont="1" applyFill="1" applyBorder="1"/>
    <x:xf numFmtId="167" fontId="58" fillId="13" borderId="0" xfId="0" applyNumberFormat="1" applyFont="1" applyFill="1" applyBorder="1"/>
    <x:xf numFmtId="0" fontId="58" fillId="13" borderId="0" xfId="0" applyNumberFormat="1" applyFont="1" applyFill="1" applyBorder="1" applyAlignment="1">
      <x:alignment wrapText="1"/>
    </x:xf>
    <x:xf numFmtId="3" fontId="58" fillId="0" borderId="0" xfId="0" applyNumberFormat="1" applyFont="1" applyFill="1" applyBorder="1" applyAlignment="1">
      <x:alignment vertical="center"/>
    </x:xf>
    <x:xf numFmtId="167" fontId="58" fillId="0" borderId="0" xfId="0" applyNumberFormat="1" applyFont="1" applyFill="1" applyBorder="1" applyAlignment="1">
      <x:alignment vertical="center"/>
    </x:xf>
    <x:xf numFmtId="1" fontId="58" fillId="13" borderId="0" xfId="0" applyNumberFormat="1" applyFont="1" applyFill="1" applyBorder="1"/>
    <x:xf numFmtId="167" fontId="58" fillId="12" borderId="0" xfId="0" applyNumberFormat="1" applyFont="1" applyFill="1" applyBorder="1" applyAlignment="1">
      <x:alignment vertical="center"/>
    </x:xf>
    <x:xf numFmtId="170" fontId="58" fillId="0" borderId="0" xfId="0" applyNumberFormat="1" applyFont="1" applyFill="1" applyBorder="1" applyAlignment="1">
      <x:alignment vertical="center"/>
    </x:xf>
    <x:xf numFmtId="0" fontId="60" fillId="11" borderId="0" xfId="0" applyNumberFormat="1" applyFont="1" applyFill="1" applyBorder="1" applyAlignment="1">
      <x:alignment vertical="center"/>
    </x:xf>
    <x:xf numFmtId="0" fontId="60" fillId="11" borderId="0" xfId="0" applyNumberFormat="1" applyFont="1" applyFill="1" applyBorder="1" applyAlignment="1">
      <x:alignment vertical="center" wrapText="1"/>
    </x:xf>
    <x:xf numFmtId="0" fontId="57" fillId="8" borderId="0" xfId="0" applyNumberFormat="1" applyFont="1" applyFill="1" applyBorder="1" applyAlignment="1">
      <x:alignment horizontal="center" vertical="center"/>
    </x:xf>
    <x:xf numFmtId="0" fontId="57" fillId="8" borderId="0" xfId="0" applyNumberFormat="1" applyFont="1" applyFill="1" applyBorder="1" applyAlignment="1">
      <x:alignment vertical="center"/>
    </x:xf>
    <x:xf numFmtId="164" fontId="58" fillId="0" borderId="0" xfId="0" applyNumberFormat="1" applyFont="1" applyFill="1" applyBorder="1" applyAlignment="1">
      <x:alignment vertical="center"/>
    </x:xf>
    <x:xf numFmtId="165" fontId="58" fillId="0" borderId="0" xfId="0" applyNumberFormat="1" applyFont="1" applyFill="1" applyBorder="1" applyAlignment="1">
      <x:alignment vertical="center"/>
    </x:xf>
    <x:xf numFmtId="169" fontId="58" fillId="0" borderId="0" xfId="0" applyNumberFormat="1" applyFont="1" applyFill="1" applyBorder="1" applyAlignment="1">
      <x:alignment vertical="center"/>
    </x:xf>
    <x:xf numFmtId="0" fontId="57" fillId="17" borderId="0" xfId="0" applyNumberFormat="1" applyFont="1" applyFill="1" applyBorder="1"/>
    <x:xf numFmtId="0" fontId="57" fillId="17" borderId="0" xfId="0" applyNumberFormat="1" applyFont="1" applyFill="1" applyBorder="1" applyAlignment="1">
      <x:alignment wrapText="1"/>
    </x:xf>
    <x:xf numFmtId="0" fontId="59" fillId="17" borderId="0" xfId="0" applyNumberFormat="1" applyFont="1" applyFill="1" applyBorder="1"/>
    <x:xf numFmtId="0" fontId="59" fillId="17" borderId="0" xfId="0" applyNumberFormat="1" applyFont="1" applyFill="1" applyBorder="1" applyAlignment="1">
      <x:alignment wrapText="1"/>
    </x:xf>
    <x:xf numFmtId="0" fontId="59" fillId="17" borderId="0" xfId="0" applyNumberFormat="1" applyFont="1" applyFill="1" applyBorder="1" applyAlignment="1">
      <x:alignment horizontal="center" wrapText="1"/>
    </x:xf>
    <x:xf numFmtId="0" fontId="58" fillId="12" borderId="0" xfId="0" applyNumberFormat="1" applyFont="1" applyFill="1" applyBorder="1" applyAlignment="1">
      <x:alignment vertical="center" wrapText="1"/>
    </x:xf>
    <x:xf numFmtId="3" fontId="58" fillId="12" borderId="0" xfId="0" applyNumberFormat="1" applyFont="1" applyFill="1" applyBorder="1" applyAlignment="1">
      <x:alignment vertical="center" wrapText="1"/>
    </x:xf>
    <x:xf numFmtId="167" fontId="58" fillId="13" borderId="0" xfId="0" applyNumberFormat="1" applyFont="1" applyFill="1" applyBorder="1" applyAlignment="1">
      <x:alignment wrapText="1"/>
    </x:xf>
    <x:xf numFmtId="3" fontId="58" fillId="0" borderId="0" xfId="0" applyNumberFormat="1" applyFont="1" applyFill="1" applyBorder="1" applyAlignment="1">
      <x:alignment vertical="center" wrapText="1"/>
    </x:xf>
    <x:xf numFmtId="167" fontId="58" fillId="0" borderId="0" xfId="0" applyNumberFormat="1" applyFont="1" applyFill="1" applyBorder="1" applyAlignment="1">
      <x:alignment vertical="center" wrapText="1"/>
    </x:xf>
    <x:xf numFmtId="1" fontId="58" fillId="13" borderId="0" xfId="0" applyNumberFormat="1" applyFont="1" applyFill="1" applyBorder="1" applyAlignment="1">
      <x:alignment wrapText="1"/>
    </x:xf>
    <x:xf numFmtId="167" fontId="58" fillId="12" borderId="0" xfId="0" applyNumberFormat="1" applyFont="1" applyFill="1" applyBorder="1" applyAlignment="1">
      <x:alignment vertical="center" wrapText="1"/>
    </x:xf>
    <x:xf numFmtId="170" fontId="58" fillId="0" borderId="0" xfId="0" applyNumberFormat="1" applyFont="1" applyFill="1" applyBorder="1" applyAlignment="1">
      <x:alignment vertical="center" wrapText="1"/>
    </x:xf>
    <x:xf numFmtId="0" fontId="58" fillId="18" borderId="0" xfId="0" applyNumberFormat="1" applyFont="1" applyFill="1" applyBorder="1" applyAlignment="1">
      <x:alignment vertical="center"/>
    </x:xf>
    <x:xf numFmtId="0" fontId="60" fillId="18" borderId="0" xfId="0" applyNumberFormat="1" applyFont="1" applyFill="1" applyBorder="1" applyAlignment="1">
      <x:alignment vertical="center"/>
    </x:xf>
    <x:xf numFmtId="0" fontId="60" fillId="18" borderId="0" xfId="0" applyNumberFormat="1" applyFont="1" applyFill="1" applyBorder="1" applyAlignment="1">
      <x:alignment vertical="center" wrapText="1"/>
    </x:xf>
    <x:xf numFmtId="0" fontId="54" fillId="18" borderId="0" xfId="0" applyNumberFormat="1" applyFont="1" applyFill="1" applyBorder="1" applyAlignment="1">
      <x:alignment vertical="center"/>
    </x:xf>
    <x:xf numFmtId="0" fontId="51" fillId="18" borderId="0" xfId="0" applyNumberFormat="1" applyFont="1" applyFill="1" applyBorder="1" applyAlignment="1">
      <x:alignment vertical="center"/>
    </x:xf>
    <x:xf numFmtId="0" fontId="51" fillId="18" borderId="0" xfId="0" applyNumberFormat="1" applyFont="1" applyFill="1" applyBorder="1" applyAlignment="1">
      <x:alignment vertical="center" wrapText="1"/>
    </x:xf>
    <x:xf numFmtId="0" fontId="54" fillId="18" borderId="0" xfId="0" applyNumberFormat="1" applyFont="1" applyFill="1" applyBorder="1" applyAlignment="1">
      <x:alignment vertical="center" wrapText="1"/>
    </x:xf>
    <x:xf numFmtId="0" fontId="54" fillId="18" borderId="0" xfId="0" applyNumberFormat="1" applyFont="1" applyFill="1" applyBorder="1" applyAlignment="1">
      <x:alignment horizontal="left" vertical="center" wrapText="1"/>
    </x:xf>
    <x:xf numFmtId="164" fontId="58" fillId="0" borderId="0" xfId="0" applyNumberFormat="1" applyFont="1" applyFill="1" applyBorder="1" applyAlignment="1">
      <x:alignment vertical="center" wrapText="1"/>
    </x:xf>
    <x:xf numFmtId="165" fontId="58" fillId="0" borderId="0" xfId="0" applyNumberFormat="1" applyFont="1" applyFill="1" applyBorder="1" applyAlignment="1">
      <x:alignment vertical="center" wrapText="1"/>
    </x:xf>
    <x:xf numFmtId="169" fontId="58" fillId="0" borderId="0" xfId="0" applyNumberFormat="1" applyFont="1" applyFill="1" applyBorder="1" applyAlignment="1">
      <x:alignment vertical="center" wrapText="1"/>
    </x:xf>
    <x:xf numFmtId="0" fontId="57" fillId="8" borderId="0" xfId="0" applyNumberFormat="1" applyFont="1" applyFill="1" applyBorder="1" applyAlignment="1">
      <x:alignment horizontal="center" vertical="center" wrapText="1"/>
    </x:xf>
    <x:xf numFmtId="0" fontId="57" fillId="17" borderId="0" xfId="0" applyNumberFormat="1" applyFont="1" applyFill="1" applyBorder="1" applyAlignment="1">
      <x:alignment horizontal="center" vertical="center" wrapText="1"/>
    </x:xf>
    <x:xf numFmtId="1" fontId="58" fillId="12" borderId="0" xfId="0" applyNumberFormat="1" applyFont="1" applyFill="1" applyBorder="1" applyAlignment="1">
      <x:alignment horizontal="center" vertical="top" wrapText="1"/>
    </x:xf>
    <x:xf numFmtId="1" fontId="58" fillId="0" borderId="0" xfId="0" applyNumberFormat="1" applyFont="1" applyFill="1" applyBorder="1" applyAlignment="1">
      <x:alignment horizontal="center" vertical="top" wrapText="1"/>
    </x:xf>
    <x:xf numFmtId="0" fontId="57" fillId="4" borderId="0" xfId="0" applyNumberFormat="1" applyFont="1" applyFill="1" applyBorder="1" applyAlignment="1">
      <x:alignment horizontal="center" vertical="center" wrapText="1"/>
    </x:xf>
    <x:xf numFmtId="0" fontId="58" fillId="17" borderId="0" xfId="0" applyNumberFormat="1" applyFont="1" applyFill="1" applyBorder="1" applyAlignment="1">
      <x:alignment vertical="center" wrapText="1"/>
    </x:xf>
    <x:xf numFmtId="0" fontId="57" fillId="8" borderId="0" xfId="0" applyNumberFormat="1" applyFont="1" applyFill="1" applyBorder="1" applyAlignment="1">
      <x:alignment vertical="center" wrapText="1"/>
    </x:xf>
    <x:xf numFmtId="0" fontId="57" fillId="14" borderId="0" xfId="0" applyNumberFormat="1" applyFont="1" applyFill="1" applyBorder="1" applyAlignment="1">
      <x:alignment vertical="center" wrapText="1"/>
    </x:xf>
    <x:xf numFmtId="0" fontId="57" fillId="17" borderId="0" xfId="0" applyNumberFormat="1" applyFont="1" applyFill="1" applyBorder="1" applyAlignment="1">
      <x:alignment vertical="center" wrapText="1"/>
    </x:xf>
    <x:xf numFmtId="0" fontId="55" fillId="17" borderId="0" xfId="0" applyNumberFormat="1" applyFont="1" applyFill="1" applyBorder="1" applyAlignment="1">
      <x:alignment vertical="center" wrapText="1"/>
    </x:xf>
    <x:xf numFmtId="0" fontId="55" fillId="16" borderId="0" xfId="0" applyNumberFormat="1" applyFont="1" applyFill="1" applyBorder="1" applyAlignment="1">
      <x:alignment horizontal="left" vertical="center" wrapText="1"/>
    </x:xf>
    <x:xf numFmtId="0" fontId="57" fillId="16" borderId="0" xfId="0" applyNumberFormat="1" applyFont="1" applyFill="1" applyBorder="1" applyAlignment="1">
      <x:alignment vertical="center" wrapText="1"/>
    </x:xf>
    <x:xf numFmtId="0" fontId="58" fillId="16" borderId="0" xfId="0" applyNumberFormat="1" applyFont="1" applyFill="1" applyBorder="1" applyAlignment="1">
      <x:alignment vertical="top" wrapText="1"/>
    </x:xf>
    <x:xf numFmtId="0" fontId="59" fillId="16" borderId="0" xfId="0" applyNumberFormat="1" applyFont="1" applyFill="1" applyBorder="1" applyAlignment="1">
      <x:alignment horizontal="left" vertical="center" wrapText="1"/>
    </x:xf>
    <x:xf numFmtId="0" fontId="59" fillId="16" borderId="0" xfId="0" applyNumberFormat="1" applyFont="1" applyFill="1" applyBorder="1" applyAlignment="1">
      <x:alignment vertical="center" wrapText="1"/>
    </x:xf>
    <x:xf numFmtId="0" fontId="61" fillId="16" borderId="0" xfId="0" applyNumberFormat="1" applyFont="1" applyFill="1" applyBorder="1" applyAlignment="1">
      <x:alignment vertical="top" wrapText="1"/>
    </x:xf>
    <x:xf numFmtId="0" fontId="61" fillId="16" borderId="0" xfId="0" applyNumberFormat="1" applyFont="1" applyFill="1" applyBorder="1" applyAlignment="1">
      <x:alignment vertical="center" wrapText="1"/>
    </x:xf>
    <x:xf numFmtId="0" fontId="59" fillId="17" borderId="0" xfId="0" applyNumberFormat="1" applyFont="1" applyFill="1" applyBorder="1" applyAlignment="1">
      <x:alignment horizontal="left" vertical="center" wrapText="1"/>
    </x:xf>
    <x:xf numFmtId="0" fontId="62" fillId="17" borderId="0" xfId="0" applyNumberFormat="1" applyFont="1" applyFill="1" applyBorder="1" applyAlignment="1">
      <x:alignment horizontal="left" vertical="center" wrapText="1"/>
    </x:xf>
    <x:xf numFmtId="0" fontId="59" fillId="23" borderId="0" xfId="0" applyNumberFormat="1" applyFont="1" applyFill="1" applyBorder="1" applyAlignment="1">
      <x:alignment vertical="center" wrapText="1"/>
    </x:xf>
    <x:xf numFmtId="0" fontId="52" fillId="23" borderId="0" xfId="0" applyNumberFormat="1" applyFont="1" applyFill="1" applyBorder="1" applyAlignment="1">
      <x:alignment vertical="center" wrapText="1"/>
    </x:xf>
    <x:xf numFmtId="0" fontId="52" fillId="23" borderId="0" xfId="0" applyNumberFormat="1" applyFont="1" applyFill="1" applyBorder="1" applyAlignment="1">
      <x:alignment horizontal="left" vertical="center" wrapText="1"/>
    </x:xf>
    <x:xf numFmtId="0" fontId="61" fillId="16" borderId="0" xfId="0" applyNumberFormat="1" applyFont="1" applyFill="1" applyBorder="1" applyAlignment="1">
      <x:alignment horizontal="left" vertical="center" wrapText="1"/>
    </x:xf>
    <x:xf numFmtId="0" fontId="62" fillId="16" borderId="0" xfId="0" applyNumberFormat="1" applyFont="1" applyFill="1" applyBorder="1" applyAlignment="1">
      <x:alignment horizontal="left" vertical="center" wrapText="1"/>
    </x:xf>
    <x:xf numFmtId="0" fontId="52" fillId="16" borderId="0" xfId="0" applyNumberFormat="1" applyFont="1" applyFill="1" applyBorder="1" applyAlignment="1">
      <x:alignment horizontal="left" vertical="center" wrapText="1"/>
    </x:xf>
    <x:xf numFmtId="0" fontId="59" fillId="23" borderId="0" xfId="0" applyNumberFormat="1" applyFont="1" applyFill="1" applyBorder="1" applyAlignment="1">
      <x:alignment horizontal="left" vertical="center" wrapText="1"/>
    </x:xf>
    <x:xf numFmtId="0" fontId="26" fillId="27" borderId="0" xfId="0" applyNumberFormat="1" applyFont="1" applyFill="1" applyBorder="1" applyAlignment="1">
      <x:alignment horizontal="center" vertical="center"/>
    </x:xf>
    <x:xf numFmtId="0" fontId="26" fillId="27" borderId="0" xfId="0" applyNumberFormat="1" applyFont="1" applyFill="1" applyBorder="1" applyAlignment="1">
      <x:alignment vertical="center"/>
    </x:xf>
    <x:xf numFmtId="0" fontId="63" fillId="27" borderId="0" xfId="0" applyNumberFormat="1" applyFont="1" applyFill="1" applyBorder="1" applyAlignment="1">
      <x:alignment horizontal="center" vertical="center"/>
    </x:xf>
    <x:xf numFmtId="0" fontId="63" fillId="27" borderId="0" xfId="0" applyNumberFormat="1" applyFont="1" applyFill="1" applyBorder="1" applyAlignment="1">
      <x:alignment vertical="center"/>
    </x:xf>
    <x:xf numFmtId="0" fontId="63" fillId="27" borderId="0" xfId="0" applyNumberFormat="1" applyFont="1" applyFill="1" applyBorder="1" applyAlignment="1">
      <x:alignment horizontal="center" vertical="center" wrapText="1"/>
    </x:xf>
    <x:xf numFmtId="0" fontId="63" fillId="27" borderId="0" xfId="0" applyNumberFormat="1" applyFont="1" applyFill="1" applyBorder="1" applyAlignment="1">
      <x:alignment vertical="center" wrapText="1"/>
    </x:xf>
    <x:xf numFmtId="1" fontId="33" fillId="12" borderId="0" xfId="0" applyNumberFormat="1" applyFont="1" applyFill="1" applyBorder="1" applyAlignment="1">
      <x:alignment vertical="center" wrapText="1"/>
    </x:xf>
    <x:xf numFmtId="0" fontId="32" fillId="12" borderId="0" xfId="0" applyNumberFormat="1" applyFont="1" applyFill="1" applyBorder="1" applyAlignment="1">
      <x:alignment vertical="center" wrapText="1"/>
    </x:xf>
    <x:xf numFmtId="1" fontId="32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95818df314635" /><Relationship Type="http://schemas.openxmlformats.org/officeDocument/2006/relationships/theme" Target="/xl/theme/theme1.xml" Id="Red57204bcc0242f9" /><Relationship Type="http://schemas.openxmlformats.org/officeDocument/2006/relationships/sharedStrings" Target="/xl/sharedStrings.xml" Id="R6f60b97753ad4ed9" /><Relationship Type="http://schemas.openxmlformats.org/officeDocument/2006/relationships/worksheet" Target="/xl/worksheets/sheet1.xml" Id="Rf79771c724194730" /><Relationship Type="http://schemas.openxmlformats.org/officeDocument/2006/relationships/worksheet" Target="/xl/worksheets/sheet2.xml" Id="Rcfdf7e88d679417f" /><Relationship Type="http://schemas.openxmlformats.org/officeDocument/2006/relationships/worksheet" Target="/xl/worksheets/sheet3.xml" Id="R0255b26be0de4b25" /><Relationship Type="http://schemas.openxmlformats.org/officeDocument/2006/relationships/worksheet" Target="/xl/worksheets/sheet4.xml" Id="R8d97ca34d5e04160" /><Relationship Type="http://schemas.openxmlformats.org/officeDocument/2006/relationships/worksheet" Target="/xl/worksheets/sheet5.xml" Id="Reb9a97297c5149fc" /><Relationship Type="http://schemas.openxmlformats.org/officeDocument/2006/relationships/worksheet" Target="/xl/worksheets/sheet6.xml" Id="Rc326a380da964e58" /><Relationship Type="http://schemas.openxmlformats.org/officeDocument/2006/relationships/worksheet" Target="/xl/worksheets/sheet7.xml" Id="Rb15914a9f83143cf" /><Relationship Type="http://schemas.openxmlformats.org/officeDocument/2006/relationships/worksheet" Target="/xl/worksheets/sheet8.xml" Id="R8ad3bc124fc74b64" /><Relationship Type="http://schemas.openxmlformats.org/officeDocument/2006/relationships/worksheet" Target="/xl/worksheets/sheet9.xml" Id="Rd0165579d78549b6" /><Relationship Type="http://schemas.openxmlformats.org/officeDocument/2006/relationships/worksheet" Target="/xl/worksheets/sheet10.xml" Id="R2a63de83a964405f" /><Relationship Type="http://schemas.openxmlformats.org/officeDocument/2006/relationships/worksheet" Target="/xl/worksheets/sheet11.xml" Id="Rfca24c8dcced48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bc2d05d761412d" /><Relationship Type="http://schemas.openxmlformats.org/officeDocument/2006/relationships/chart" Target="/xl/drawings/charts/chart2.xml" Id="Rbe5dc8f911a44c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57b14fe5a054eae" /><Relationship Type="http://schemas.openxmlformats.org/officeDocument/2006/relationships/chart" Target="/xl/drawings/charts/chart4.xml" Id="R600c2a31abfe4ccb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Model-site coverage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Model lines</c:v>
          </c:tx>
          <c:spPr>
            <a:ln xmlns:a="http://schemas.openxmlformats.org/drawingml/2006/main">
              <a:prstDash val="solid"/>
            </a:ln>
          </c:spPr>
          <c:cat>
            <c:strRef>
              <c:f>'Chart Data'!$A$3:$A$8</c:f>
              <c:strCache>
                <c:ptCount val="0"/>
              </c:strCache>
            </c:strRef>
          </c:cat>
          <c:val>
            <c:numRef>
              <c:f>'Chart Data'!$B$3:$B$8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breadth by site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Named model lines</c:v>
          </c:tx>
          <c:spPr>
            <a:ln xmlns:a="http://schemas.openxmlformats.org/drawingml/2006/main">
              <a:prstDash val="solid"/>
            </a:ln>
          </c:spPr>
          <c:cat>
            <c:strRef>
              <c:f>'Chart Data'!$F$2:$F$11</c:f>
              <c:strCache>
                <c:ptCount val="0"/>
              </c:strCache>
            </c:strRef>
          </c:cat>
          <c:val>
            <c:numRef>
              <c:f>'Chart Data'!$G$2:$G$11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lines by site — comparable matrix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Model lines</c:v>
          </c:tx>
          <c:spPr>
            <a:ln xmlns:a="http://schemas.openxmlformats.org/drawingml/2006/main">
              <a:prstDash val="solid"/>
            </a:ln>
          </c:spPr>
          <c:cat>
            <c:strRef>
              <c:f>'Chart Data'!$A$2:$A$11</c:f>
              <c:strCache>
                <c:ptCount val="0"/>
              </c:strCache>
            </c:strRef>
          </c:cat>
          <c:val>
            <c:numRef>
              <c:f>'Chart Data'!$B$2:$B$11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Model-site coverage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Number of model lines</c:v>
          </c:tx>
          <c:spPr>
            <a:ln xmlns:a="http://schemas.openxmlformats.org/drawingml/2006/main">
              <a:prstDash val="solid"/>
            </a:ln>
          </c:spPr>
          <c:cat>
            <c:strRef>
              <c:f>'Chart Data'!$D$2:$D$7</c:f>
              <c:strCache>
                <c:ptCount val="0"/>
              </c:strCache>
            </c:strRef>
          </c:cat>
          <c:val>
            <c:numRef>
              <c:f>'Chart Data'!$E$2:$E$7</c:f>
              <c:numCache>
                <c:formatCode>General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bc2d05d761412d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5dc8f911a44cb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7b14fe5a054eae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c2a31abfe4c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1:E16" headerRowCount="1" totalsRowCount="0" totalsRowShown="0">
  <x:tableColumns count="5">
    <x:tableColumn id="1" name="Source ID"/>
    <x:tableColumn id="2" name="Publication"/>
    <x:tableColumn id="3" name="Date"/>
    <x:tableColumn id="4" name="Use in project"/>
    <x:tableColumn id="5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tNetworkTable" displayName="PlantNetworkTable" ref="A1:I17" headerRowCount="1" totalsRowCount="0" totalsRowShown="0">
  <x:tableColumns count="9">
    <x:tableColumn id="1" name="Site"/>
    <x:tableColumn id="2" name="Country"/>
    <x:tableColumn id="3" name="Brand scope"/>
    <x:tableColumn id="4" name="2025 series production programme"/>
    <x:tableColumn id="5" name="Drivetrain portfolio"/>
    <x:tableColumn id="6" name="Model-line count"/>
    <x:tableColumn id="7" name="Neue Klasse / transition position"/>
    <x:tableColumn id="8" name="Battery linkage"/>
    <x:tableColumn id="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SummaryTable" displayName="ModelSummaryTable" ref="A1:D28" headerRowCount="1" totalsRowCount="0" totalsRowShown="0">
  <x:tableColumns count="4">
    <x:tableColumn id="1" name="Model line"/>
    <x:tableColumn id="2" name="Site count"/>
    <x:tableColumn id="3" name="Listed assembly sites"/>
    <x:tableColumn id="4" name="Single-site 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iteLinkTable" displayName="ModelSiteLinkTable" ref="A32:B98" headerRowCount="1" totalsRowCount="0" totalsRowShown="0">
  <x:tableColumns count="2">
    <x:tableColumn id="1" name="Model line"/>
    <x:tableColumn id="2" name="S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SummaryTable2" displayName="ModelSummaryTable2" ref="A1:D28" headerRowCount="1" totalsRowCount="0" totalsRowShown="0">
  <x:tableColumns count="4">
    <x:tableColumn id="1" name="Model line"/>
    <x:tableColumn id="2" name="Site count"/>
    <x:tableColumn id="3" name="Listed assembly sites"/>
    <x:tableColumn id="4" name="Single-site fla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SiteLinkTable2" displayName="ModelSiteLinkTable2" ref="A32:B95" headerRowCount="1" totalsRowCount="0" totalsRowShown="0">
  <x:tableColumns count="2">
    <x:tableColumn id="1" name="Model line"/>
    <x:tableColumn id="2" name="Si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itionTimelineTable" displayName="TransitionTimelineTable" ref="A1:F12" headerRowCount="1" totalsRowCount="0" totalsRowShown="0">
  <x:tableColumns count="6">
    <x:tableColumn id="1" name="Date"/>
    <x:tableColumn id="2" name="Type"/>
    <x:tableColumn id="3" name="Site / scope"/>
    <x:tableColumn id="4" name="Evidence"/>
    <x:tableColumn id="5" name="Source"/>
    <x:tableColumn id="6" name="Analytical read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tteryNodeTable" displayName="BatteryNodeTable" ref="A1:F6" headerRowCount="1" totalsRowCount="0" totalsRowShown="0">
  <x:tableColumns count="6">
    <x:tableColumn id="1" name="Battery site"/>
    <x:tableColumn id="2" name="Country"/>
    <x:tableColumn id="3" name="Relationship to vehicle plant"/>
    <x:tableColumn id="4" name="Evidence"/>
    <x:tableColumn id="5" name="Primary vehicle-network role"/>
    <x:tableColumn id="6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ancialSignalTable" displayName="FinancialSignalTable" ref="A1:F15" headerRowCount="1" totalsRowCount="0" totalsRowShown="0">
  <x:tableColumns count="6">
    <x:tableColumn id="1" name="Metric"/>
    <x:tableColumn id="2" name="Unit"/>
    <x:tableColumn id="3" name="H1 2026 / Jun 2026"/>
    <x:tableColumn id="4" name="H1 2025 / Dec 2025"/>
    <x:tableColumn id="5" name="Context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04fec8742546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2356ba9f2c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1883cb83c146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58c1982d0542e2" /><Relationship Type="http://schemas.openxmlformats.org/officeDocument/2006/relationships/table" Target="/xl/tables/table4.xml" Id="R2af920078ee5411b" /><Relationship Type="http://schemas.openxmlformats.org/officeDocument/2006/relationships/table" Target="/xl/tables/table5.xml" Id="Rde1a08edabef446d" /><Relationship Type="http://schemas.openxmlformats.org/officeDocument/2006/relationships/table" Target="/xl/tables/table6.xml" Id="R5e3fa5c5165840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5f00824f212f4e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ae541db5594244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62d2235b47d144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24051acca6954a7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.5" style="62" customWidth="1"/>
    <x:col min="2" max="2" width="13.5" style="62" customWidth="1"/>
    <x:col min="3" max="3" width="13.5" style="62" customWidth="1"/>
    <x:col min="4" max="4" width="13.5" style="62" customWidth="1"/>
    <x:col min="5" max="5" width="13.5" style="62" customWidth="1"/>
    <x:col min="6" max="6" width="13.5" style="62" customWidth="1"/>
    <x:col min="7" max="7" width="13.5" style="62" customWidth="1"/>
    <x:col min="8" max="8" width="13.5" style="62" customWidth="1"/>
  </x:cols>
  <x:sheetData>
    <x:row r="1" s="62" customFormat="1" ht="28" customHeight="1">
      <x:c r="A1" s="519" t="str">
        <x:v>BMW Production Network &amp; Working Capital Analysis</x:v>
      </x:c>
      <x:c r="B1" s="1" t="n"/>
      <x:c r="C1" s="1" t="n"/>
      <x:c r="D1" s="1" t="n"/>
      <x:c r="E1" s="1" t="n"/>
      <x:c r="F1" s="1" t="n"/>
      <x:c r="G1" s="1" t="n"/>
      <x:c r="H1" s="1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24" customHeight="1">
      <x:c r="A2" s="520" t="inlineStr">
        <x:is>
          <x:t xml:space="preserve">Baseline: 2025 BMW Group production programme | Core evidence cut-off: 10 August 2026 | Publication date: 28 August 2026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>
      <x:c r="A3" s="375" t="n"/>
      <x:c r="B3" s="375" t="n"/>
      <x:c r="C3" s="375" t="n"/>
      <x:c r="D3" s="375" t="n"/>
      <x:c r="E3" s="375" t="n"/>
      <x:c r="F3" s="375" t="n"/>
      <x:c r="G3" s="375" t="n"/>
      <x:c r="H3" s="375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23" customHeight="1">
      <x:c r="A4" s="521" t="inlineStr">
        <x:is>
          <x:t xml:space="preserve">COMPARABLE SITES</x:t>
        </x:is>
      </x:c>
      <x:c r="B4" s="1" t="n"/>
      <x:c r="C4" s="521" t="inlineStr">
        <x:is>
          <x:t xml:space="preserve">MODEL LINES</x:t>
        </x:is>
      </x:c>
      <x:c r="D4" s="1" t="n"/>
      <x:c r="E4" s="521" t="inlineStr">
        <x:is>
          <x:t xml:space="preserve">MODEL-SITE LINKS</x:t>
        </x:is>
      </x:c>
      <x:c r="F4" s="1" t="n"/>
      <x:c r="G4" s="521" t="inlineStr">
        <x:is>
          <x:t xml:space="preserve">SINGLE-SITE SHARE</x:t>
        </x:is>
      </x:c>
      <x:c r="H4" s="1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30" customHeight="1">
      <x:c r="A5" s="522" t="n">
        <x:f>COUNTIF('Plant Network'!J2:J17,"Comparable")</x:f>
        <x:v>14</x:v>
      </x:c>
      <x:c r="B5" s="1" t="n"/>
      <x:c r="C5" s="522" t="n">
        <x:f>COUNTA('Model Network'!A2:A28)</x:f>
        <x:v>27</x:v>
      </x:c>
      <x:c r="D5" s="1" t="n"/>
      <x:c r="E5" s="522" t="n">
        <x:f>SUM('Model Network'!B2:B28)</x:f>
        <x:v>63</x:v>
      </x:c>
      <x:c r="F5" s="1" t="n"/>
      <x:c r="G5" s="523" t="n">
        <x:f>COUNTIF('Model Network'!D2:D28,"Yes")/COUNTA('Model Network'!A2:A28)</x:f>
        <x:v>0.4444444444444444</x:v>
      </x:c>
      <x:c r="H5" s="1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42" customHeight="1">
      <x:c r="A6" s="524" t="inlineStr">
        <x:is>
          <x:t xml:space="preserve">Passenger-vehicle sites retained in the comparable matrix</x:t>
        </x:is>
      </x:c>
      <x:c r="B6" s="1" t="n"/>
      <x:c r="C6" s="524" t="inlineStr">
        <x:is>
          <x:t xml:space="preserve">Named model lines after scope exclusions</x:t>
        </x:is>
      </x:c>
      <x:c r="D6" s="1" t="n"/>
      <x:c r="E6" s="524" t="inlineStr">
        <x:is>
          <x:t xml:space="preserve">Links in the 2025 programme matrix; one link means a model is listed at a site</x:t>
        </x:is>
      </x:c>
      <x:c r="F6" s="1" t="n"/>
      <x:c r="G6" s="524" t="inlineStr">
        <x:is>
          <x:t xml:space="preserve">12 of 27 model lines have one listed site</x:t>
        </x:is>
      </x:c>
      <x:c r="H6" s="1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>
      <x:c r="A7" s="375" t="n"/>
      <x:c r="B7" s="375" t="n"/>
      <x:c r="C7" s="375" t="n"/>
      <x:c r="D7" s="375" t="n"/>
      <x:c r="E7" s="375" t="n"/>
      <x:c r="F7" s="375" t="n"/>
      <x:c r="G7" s="375" t="n"/>
      <x:c r="H7" s="375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23" customHeight="1">
      <x:c r="A8" s="521" t="inlineStr">
        <x:is>
          <x:t xml:space="preserve">SINGLE-SITE BEV LINES</x:t>
        </x:is>
      </x:c>
      <x:c r="B8" s="1" t="n"/>
      <x:c r="C8" s="521" t="inlineStr">
        <x:is>
          <x:t xml:space="preserve">3-DRIVETRAIN PLANTS</x:t>
        </x:is>
      </x:c>
      <x:c r="D8" s="1" t="n"/>
      <x:c r="E8" s="521" t="inlineStr">
        <x:is>
          <x:t xml:space="preserve">H1 PRODUCTION GAP</x:t>
        </x:is>
      </x:c>
      <x:c r="F8" s="1" t="n"/>
      <x:c r="G8" s="521" t="inlineStr">
        <x:is>
          <x:t xml:space="preserve">H1 WORKING-CAPITAL CHANGE</x:t>
        </x:is>
      </x:c>
      <x:c r="H8" s="1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30" customHeight="1">
      <x:c r="A9" s="522" t="n">
        <x:f>COUNTIF('Model Network'!A2:A28,"BMW i3")+COUNTIF('Model Network'!A2:A28,"BMW i4")+COUNTIF('Model Network'!A2:A28,"BMW i7")+COUNTIF('Model Network'!A2:A28,"BMW iX")+COUNTIF('Model Network'!A2:A28,"BMW iX2")+COUNTIF('Model Network'!A2:A28,"BMW iX3")+COUNTIF('Model Network'!A2:A28,"MINI Aceman")</x:f>
        <x:v>7</x:v>
      </x:c>
      <x:c r="B9" s="1" t="n"/>
      <x:c r="C9" s="522" t="n">
        <x:f>COUNTIF('Plant Network'!K2:K17,3)</x:f>
        <x:v>5</x:v>
      </x:c>
      <x:c r="D9" s="1" t="n"/>
      <x:c r="E9" s="525" t="n">
        <x:f>'H1 Financial Signal'!B19</x:f>
        <x:v>110784</x:v>
      </x:c>
      <x:c r="F9" s="1" t="n"/>
      <x:c r="G9" s="526" t="n">
        <x:f>'H1 Financial Signal'!C12</x:f>
        <x:v>-1858</x:v>
      </x:c>
      <x:c r="H9" s="1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42" customHeight="1">
      <x:c r="A10" s="524" t="inlineStr">
        <x:is>
          <x:t xml:space="preserve">Seven of the 12 single-site model lines are BEV names in the 2025 matrix</x:t>
        </x:is>
      </x:c>
      <x:c r="B10" s="1" t="n"/>
      <x:c r="C10" s="524" t="inlineStr">
        <x:is>
          <x:t xml:space="preserve">Sites listing ICE + BEV + PHEV in the 2025 report</x:t>
        </x:is>
      </x:c>
      <x:c r="D10" s="1" t="n"/>
      <x:c r="E10" s="524" t="inlineStr">
        <x:is>
          <x:t xml:space="preserve">Production minus deliveries, H1 2026 (project calculation)</x:t>
        </x:is>
      </x:c>
      <x:c r="F10" s="1" t="n"/>
      <x:c r="G10" s="524" t="inlineStr">
        <x:is>
          <x:t xml:space="preserve">BMW-reported change in working capital, EUR million</x:t>
        </x:is>
      </x:c>
      <x:c r="H10" s="1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>
      <x:c r="A11" s="375" t="n"/>
      <x:c r="B11" s="375" t="n"/>
      <x:c r="C11" s="375" t="n"/>
      <x:c r="D11" s="375" t="n"/>
      <x:c r="E11" s="375" t="n"/>
      <x:c r="F11" s="375" t="n"/>
      <x:c r="G11" s="375" t="n"/>
      <x:c r="H11" s="375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>
      <x:c r="A12" s="375" t="n"/>
      <x:c r="B12" s="375" t="n"/>
      <x:c r="C12" s="375" t="n"/>
      <x:c r="D12" s="375" t="n"/>
      <x:c r="E12" s="375" t="n"/>
      <x:c r="F12" s="375" t="n"/>
      <x:c r="G12" s="375" t="n"/>
      <x:c r="H12" s="375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22" customHeight="1">
      <x:c r="A13" s="527" t="inlineStr">
        <x:is>
          <x:t xml:space="preserve">THE ANALYTICAL PROPOSITION</x:t>
        </x:is>
      </x:c>
      <x:c r="B13" s="1" t="n"/>
      <x:c r="C13" s="1" t="n"/>
      <x:c r="D13" s="1" t="n"/>
      <x:c r="E13" s="1" t="n"/>
      <x:c r="F13" s="1" t="n"/>
      <x:c r="G13" s="1" t="n"/>
      <x:c r="H13" s="1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55" customHeight="1">
      <x:c r="A14" s="528" t="inlineStr">
        <x:is>
          <x:t xml:space="preserve">The project starts with a financial signal but does not claim causality. It reconstructs the 2025 plant-model network, tests structural model concentration and drivetrain breadth, overlays the Neue Klasse transition, and adds the Gen6 battery layer. Financial data is retained as downstream operating context.</x:t>
        </x:is>
      </x:c>
      <x:c r="B14" s="1" t="n"/>
      <x:c r="C14" s="1" t="n"/>
      <x:c r="D14" s="1" t="n"/>
      <x:c r="E14" s="1" t="n"/>
      <x:c r="F14" s="1" t="n"/>
      <x:c r="G14" s="1" t="n"/>
      <x:c r="H14" s="1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42" customHeight="1">
      <x:c r="A15" s="377" t="n"/>
      <x:c r="B15" s="377" t="n"/>
      <x:c r="C15" s="377" t="n"/>
      <x:c r="D15" s="377" t="n"/>
      <x:c r="E15" s="377" t="n"/>
      <x:c r="F15" s="377" t="n"/>
      <x:c r="G15" s="377" t="n"/>
      <x:c r="H15" s="377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 s="62" customFormat="1" ht="24" customHeight="1">
      <x:c r="A16" s="375" t="n"/>
      <x:c r="B16" s="375" t="n"/>
      <x:c r="C16" s="375" t="n"/>
      <x:c r="D16" s="375" t="n"/>
      <x:c r="E16" s="375" t="n"/>
      <x:c r="F16" s="375" t="n"/>
      <x:c r="G16" s="375" t="n"/>
      <x:c r="H16" s="375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 s="62" customFormat="1" ht="22" customHeight="1">
      <x:c r="A17" s="527" t="inlineStr">
        <x:is>
          <x:t xml:space="preserve">PUBLICATION STATUS</x:t>
        </x:is>
      </x:c>
      <x:c r="B17" s="1" t="n"/>
      <x:c r="C17" s="1" t="n"/>
      <x:c r="D17" s="1" t="n"/>
      <x:c r="E17" s="1" t="n"/>
      <x:c r="F17" s="1" t="n"/>
      <x:c r="G17" s="1" t="n"/>
      <x:c r="H17" s="1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 s="62" customFormat="1" ht="38" customHeight="1">
      <x:c r="A18" s="528" t="inlineStr">
        <x:is>
          <x:t xml:space="preserve">Publication date: 28 August 2026 | Core evidence cut-off: 10 August 2026. No disclosures after the cut-off are included in the quantitative analysis.</x:t>
        </x:is>
      </x:c>
      <x:c r="B18" s="1" t="n"/>
      <x:c r="C18" s="1" t="n"/>
      <x:c r="D18" s="1" t="n"/>
      <x:c r="E18" s="1" t="n"/>
      <x:c r="F18" s="1" t="n"/>
      <x:c r="G18" s="1" t="n"/>
      <x:c r="H18" s="1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 s="62" customFormat="1" ht="42" customHeight="1">
      <x:c r="A19" s="377" t="n"/>
      <x:c r="B19" s="377" t="n"/>
      <x:c r="C19" s="377" t="n"/>
      <x:c r="D19" s="377" t="n"/>
      <x:c r="E19" s="377" t="n"/>
      <x:c r="F19" s="377" t="n"/>
      <x:c r="G19" s="377" t="n"/>
      <x:c r="H19" s="377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 s="62" customFormat="1" ht="38" customHeight="1">
      <x:c r="A20" s="375" t="n"/>
      <x:c r="B20" s="375" t="n"/>
      <x:c r="C20" s="375" t="n"/>
      <x:c r="D20" s="375" t="n"/>
      <x:c r="E20" s="375" t="n"/>
      <x:c r="F20" s="375" t="n"/>
      <x:c r="G20" s="375" t="n"/>
      <x:c r="H20" s="375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 s="62" customFormat="1" ht="22" customHeight="1">
      <x:c r="A21" s="527" t="inlineStr">
        <x:is>
          <x:t xml:space="preserve">EVIDENCE DISCIPLINE</x:t>
        </x:is>
      </x:c>
      <x:c r="B21" s="1" t="n"/>
      <x:c r="C21" s="1" t="n"/>
      <x:c r="D21" s="1" t="n"/>
      <x:c r="E21" s="1" t="n"/>
      <x:c r="F21" s="1" t="n"/>
      <x:c r="G21" s="1" t="n"/>
      <x:c r="H21" s="1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 s="62" customFormat="1" ht="60" customHeight="1">
      <x:c r="A22" s="528" t="inlineStr">
        <x:is>
          <x:t xml:space="preserve">BMW-reported facts are attributed to source IDs. Calculated figures are derived from published inputs. Drivetrain breadth is a public-data proxy for visible multi-drivetrain capability, not a direct measure of switching speed or capacity elasticity. Site counts indicate structural concentration, not disruption probability or value at risk.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 s="62" customFormat="1" ht="34" customHeight="1">
      <x:c r="A23" s="377" t="n"/>
      <x:c r="B23" s="377" t="n"/>
      <x:c r="C23" s="377" t="n"/>
      <x:c r="D23" s="377" t="n"/>
      <x:c r="E23" s="377" t="n"/>
      <x:c r="F23" s="377" t="n"/>
      <x:c r="G23" s="377" t="n"/>
      <x:c r="H23" s="377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 s="62" customFormat="1" ht="24" customHeight="1">
      <x:c r="A24" s="520" t="inlineStr">
        <x:is>
          <x:t xml:space="preserve">Independent analysis. Not affiliated with, sponsored by, or endorsed by BMW Group.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289" t="n"/>
      <x:c r="B25" s="289" t="n"/>
      <x:c r="C25" s="289" t="n"/>
      <x:c r="D25" s="289" t="n"/>
      <x:c r="E25" s="289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289" t="n"/>
      <x:c r="B26" s="289" t="n"/>
      <x:c r="C26" s="289" t="n"/>
      <x:c r="D26" s="289" t="n"/>
      <x:c r="E26" s="289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289" t="n"/>
      <x:c r="B27" s="289" t="n"/>
      <x:c r="C27" s="289" t="n"/>
      <x:c r="D27" s="289" t="n"/>
      <x:c r="E27" s="289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289" t="n"/>
      <x:c r="B28" s="289" t="n"/>
      <x:c r="C28" s="289" t="n"/>
      <x:c r="D28" s="289" t="n"/>
      <x:c r="E28" s="289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289" t="n"/>
      <x:c r="B29" s="289" t="n"/>
      <x:c r="C29" s="289" t="n"/>
      <x:c r="D29" s="289" t="n"/>
      <x:c r="E29" s="289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289" t="n"/>
      <x:c r="B30" s="289" t="n"/>
      <x:c r="C30" s="289" t="n"/>
      <x:c r="D30" s="289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289" t="n"/>
      <x:c r="B31" s="289" t="n"/>
      <x:c r="C31" s="289" t="n"/>
      <x:c r="D31" s="289" t="n"/>
      <x:c r="E31" s="289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289" t="n"/>
      <x:c r="B32" s="289" t="n"/>
      <x:c r="C32" s="289" t="n"/>
      <x:c r="D32" s="289" t="n"/>
      <x:c r="E32" s="289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289" t="n"/>
      <x:c r="B33" s="289" t="n"/>
      <x:c r="C33" s="289" t="n"/>
      <x:c r="D33" s="289" t="n"/>
      <x:c r="E33" s="289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289" t="n"/>
      <x:c r="B34" s="289" t="n"/>
      <x:c r="C34" s="289" t="n"/>
      <x:c r="D34" s="289" t="n"/>
      <x:c r="E34" s="289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289" t="n"/>
      <x:c r="B35" s="289" t="n"/>
      <x:c r="C35" s="289" t="n"/>
      <x:c r="D35" s="289" t="n"/>
      <x:c r="E35" s="289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289" t="n"/>
      <x:c r="B36" s="289" t="n"/>
      <x:c r="C36" s="289" t="n"/>
      <x:c r="D36" s="289" t="n"/>
      <x:c r="E36" s="289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289" t="n"/>
      <x:c r="B37" s="289" t="n"/>
      <x:c r="C37" s="289" t="n"/>
      <x:c r="D37" s="289" t="n"/>
      <x:c r="E37" s="289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289" t="n"/>
      <x:c r="B38" s="289" t="n"/>
      <x:c r="C38" s="289" t="n"/>
      <x:c r="D38" s="289" t="n"/>
      <x:c r="E38" s="289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289" t="n"/>
      <x:c r="B39" s="289" t="n"/>
      <x:c r="C39" s="289" t="n"/>
      <x:c r="D39" s="289" t="n"/>
      <x:c r="E39" s="289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289" t="n"/>
      <x:c r="B40" s="289" t="n"/>
      <x:c r="C40" s="289" t="n"/>
      <x:c r="D40" s="289" t="n"/>
      <x:c r="E40" s="289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289" t="n"/>
      <x:c r="B41" s="289" t="n"/>
      <x:c r="C41" s="289" t="n"/>
      <x:c r="D41" s="289" t="n"/>
      <x:c r="E41" s="289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289" t="n"/>
      <x:c r="B42" s="289" t="n"/>
      <x:c r="C42" s="289" t="n"/>
      <x:c r="D42" s="289" t="n"/>
      <x:c r="E42" s="289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289" t="n"/>
      <x:c r="B43" s="289" t="n"/>
      <x:c r="C43" s="289" t="n"/>
      <x:c r="D43" s="289" t="n"/>
      <x:c r="E43" s="289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289" t="n"/>
      <x:c r="B44" s="289" t="n"/>
      <x:c r="C44" s="289" t="n"/>
      <x:c r="D44" s="289" t="n"/>
      <x:c r="E44" s="289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289" t="n"/>
      <x:c r="B45" s="289" t="n"/>
      <x:c r="C45" s="289" t="n"/>
      <x:c r="D45" s="289" t="n"/>
      <x:c r="E45" s="289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289" t="n"/>
      <x:c r="B46" s="289" t="n"/>
      <x:c r="C46" s="289" t="n"/>
      <x:c r="D46" s="289" t="n"/>
      <x:c r="E46" s="289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289" t="n"/>
      <x:c r="B47" s="289" t="n"/>
      <x:c r="C47" s="289" t="n"/>
      <x:c r="D47" s="289" t="n"/>
      <x:c r="E47" s="289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289" t="n"/>
      <x:c r="B48" s="289" t="n"/>
      <x:c r="C48" s="289" t="n"/>
      <x:c r="D48" s="289" t="n"/>
      <x:c r="E48" s="289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289" t="n"/>
      <x:c r="B49" s="289" t="n"/>
      <x:c r="C49" s="289" t="n"/>
      <x:c r="D49" s="289" t="n"/>
      <x:c r="E49" s="289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289" t="n"/>
      <x:c r="B50" s="289" t="n"/>
      <x:c r="C50" s="289" t="n"/>
      <x:c r="D50" s="289" t="n"/>
      <x:c r="E50" s="289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289" t="n"/>
      <x:c r="B51" s="289" t="n"/>
      <x:c r="C51" s="289" t="n"/>
      <x:c r="D51" s="289" t="n"/>
      <x:c r="E51" s="289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289" t="n"/>
      <x:c r="B52" s="289" t="n"/>
      <x:c r="C52" s="289" t="n"/>
      <x:c r="D52" s="289" t="n"/>
      <x:c r="E52" s="289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289" t="n"/>
      <x:c r="B53" s="289" t="n"/>
      <x:c r="C53" s="289" t="n"/>
      <x:c r="D53" s="289" t="n"/>
      <x:c r="E53" s="289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289" t="n"/>
      <x:c r="B54" s="289" t="n"/>
      <x:c r="C54" s="289" t="n"/>
      <x:c r="D54" s="289" t="n"/>
      <x:c r="E54" s="289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289" t="n"/>
      <x:c r="B55" s="289" t="n"/>
      <x:c r="C55" s="289" t="n"/>
      <x:c r="D55" s="289" t="n"/>
      <x:c r="E55" s="289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289" t="n"/>
      <x:c r="B56" s="289" t="n"/>
      <x:c r="C56" s="289" t="n"/>
      <x:c r="D56" s="289" t="n"/>
      <x:c r="E56" s="289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289" t="n"/>
      <x:c r="B57" s="289" t="n"/>
      <x:c r="C57" s="289" t="n"/>
      <x:c r="D57" s="289" t="n"/>
      <x:c r="E57" s="289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289" t="n"/>
      <x:c r="B58" s="289" t="n"/>
      <x:c r="C58" s="289" t="n"/>
      <x:c r="D58" s="289" t="n"/>
      <x:c r="E58" s="289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289" t="n"/>
      <x:c r="B59" s="289" t="n"/>
      <x:c r="C59" s="289" t="n"/>
      <x:c r="D59" s="289" t="n"/>
      <x:c r="E59" s="289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289" t="n"/>
      <x:c r="B60" s="289" t="n"/>
      <x:c r="C60" s="289" t="n"/>
      <x:c r="D60" s="289" t="n"/>
      <x:c r="E60" s="289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289" t="n"/>
      <x:c r="B61" s="289" t="n"/>
      <x:c r="C61" s="289" t="n"/>
      <x:c r="D61" s="289" t="n"/>
      <x:c r="E61" s="289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289" t="n"/>
      <x:c r="B62" s="289" t="n"/>
      <x:c r="C62" s="289" t="n"/>
      <x:c r="D62" s="289" t="n"/>
      <x:c r="E62" s="289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289" t="n"/>
      <x:c r="B63" s="289" t="n"/>
      <x:c r="C63" s="289" t="n"/>
      <x:c r="D63" s="289" t="n"/>
      <x:c r="E63" s="289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289" t="n"/>
      <x:c r="B64" s="289" t="n"/>
      <x:c r="C64" s="289" t="n"/>
      <x:c r="D64" s="289" t="n"/>
      <x:c r="E64" s="289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289" t="n"/>
      <x:c r="B65" s="289" t="n"/>
      <x:c r="C65" s="289" t="n"/>
      <x:c r="D65" s="289" t="n"/>
      <x:c r="E65" s="289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289" t="n"/>
      <x:c r="B66" s="289" t="n"/>
      <x:c r="C66" s="289" t="n"/>
      <x:c r="D66" s="289" t="n"/>
      <x:c r="E66" s="289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289" t="n"/>
      <x:c r="B67" s="289" t="n"/>
      <x:c r="C67" s="289" t="n"/>
      <x:c r="D67" s="289" t="n"/>
      <x:c r="E67" s="289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289" t="n"/>
      <x:c r="B68" s="289" t="n"/>
      <x:c r="C68" s="289" t="n"/>
      <x:c r="D68" s="289" t="n"/>
      <x:c r="E68" s="289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289" t="n"/>
      <x:c r="B69" s="289" t="n"/>
      <x:c r="C69" s="289" t="n"/>
      <x:c r="D69" s="289" t="n"/>
      <x:c r="E69" s="289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289" t="n"/>
      <x:c r="B70" s="289" t="n"/>
      <x:c r="C70" s="289" t="n"/>
      <x:c r="D70" s="289" t="n"/>
      <x:c r="E70" s="289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289" t="n"/>
      <x:c r="B71" s="289" t="n"/>
      <x:c r="C71" s="289" t="n"/>
      <x:c r="D71" s="289" t="n"/>
      <x:c r="E71" s="289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289" t="n"/>
      <x:c r="B72" s="289" t="n"/>
      <x:c r="C72" s="289" t="n"/>
      <x:c r="D72" s="289" t="n"/>
      <x:c r="E72" s="289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289" t="n"/>
      <x:c r="B73" s="289" t="n"/>
      <x:c r="C73" s="289" t="n"/>
      <x:c r="D73" s="289" t="n"/>
      <x:c r="E73" s="289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289" t="n"/>
      <x:c r="B74" s="289" t="n"/>
      <x:c r="C74" s="289" t="n"/>
      <x:c r="D74" s="289" t="n"/>
      <x:c r="E74" s="289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289" t="n"/>
      <x:c r="B75" s="289" t="n"/>
      <x:c r="C75" s="289" t="n"/>
      <x:c r="D75" s="289" t="n"/>
      <x:c r="E75" s="289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289" t="n"/>
      <x:c r="B76" s="289" t="n"/>
      <x:c r="C76" s="289" t="n"/>
      <x:c r="D76" s="289" t="n"/>
      <x:c r="E76" s="289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289" t="n"/>
      <x:c r="B77" s="289" t="n"/>
      <x:c r="C77" s="289" t="n"/>
      <x:c r="D77" s="289" t="n"/>
      <x:c r="E77" s="289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289" t="n"/>
      <x:c r="B78" s="289" t="n"/>
      <x:c r="C78" s="289" t="n"/>
      <x:c r="D78" s="289" t="n"/>
      <x:c r="E78" s="289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289" t="n"/>
      <x:c r="B79" s="289" t="n"/>
      <x:c r="C79" s="289" t="n"/>
      <x:c r="D79" s="289" t="n"/>
      <x:c r="E79" s="289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289" t="n"/>
      <x:c r="B80" s="289" t="n"/>
      <x:c r="C80" s="289" t="n"/>
      <x:c r="D80" s="289" t="n"/>
      <x:c r="E80" s="289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289" t="n"/>
      <x:c r="B81" s="289" t="n"/>
      <x:c r="C81" s="289" t="n"/>
      <x:c r="D81" s="289" t="n"/>
      <x:c r="E81" s="289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289" t="n"/>
      <x:c r="B82" s="289" t="n"/>
      <x:c r="C82" s="289" t="n"/>
      <x:c r="D82" s="289" t="n"/>
      <x:c r="E82" s="289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289" t="n"/>
      <x:c r="B83" s="289" t="n"/>
      <x:c r="C83" s="289" t="n"/>
      <x:c r="D83" s="289" t="n"/>
      <x:c r="E83" s="289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289" t="n"/>
      <x:c r="B84" s="289" t="n"/>
      <x:c r="C84" s="289" t="n"/>
      <x:c r="D84" s="289" t="n"/>
      <x:c r="E84" s="289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289" t="n"/>
      <x:c r="B85" s="289" t="n"/>
      <x:c r="C85" s="289" t="n"/>
      <x:c r="D85" s="289" t="n"/>
      <x:c r="E85" s="289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289" t="n"/>
      <x:c r="B86" s="289" t="n"/>
      <x:c r="C86" s="289" t="n"/>
      <x:c r="D86" s="289" t="n"/>
      <x:c r="E86" s="289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289" t="n"/>
      <x:c r="B87" s="289" t="n"/>
      <x:c r="C87" s="289" t="n"/>
      <x:c r="D87" s="289" t="n"/>
      <x:c r="E87" s="289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289" t="n"/>
      <x:c r="B88" s="289" t="n"/>
      <x:c r="C88" s="289" t="n"/>
      <x:c r="D88" s="289" t="n"/>
      <x:c r="E88" s="289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289" t="n"/>
      <x:c r="B89" s="289" t="n"/>
      <x:c r="C89" s="289" t="n"/>
      <x:c r="D89" s="289" t="n"/>
      <x:c r="E89" s="289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289" t="n"/>
      <x:c r="B90" s="289" t="n"/>
      <x:c r="C90" s="289" t="n"/>
      <x:c r="D90" s="289" t="n"/>
      <x:c r="E90" s="289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289" t="n"/>
      <x:c r="B91" s="289" t="n"/>
      <x:c r="C91" s="289" t="n"/>
      <x:c r="D91" s="289" t="n"/>
      <x:c r="E91" s="289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289" t="n"/>
      <x:c r="B92" s="289" t="n"/>
      <x:c r="C92" s="289" t="n"/>
      <x:c r="D92" s="289" t="n"/>
      <x:c r="E92" s="289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289" t="n"/>
      <x:c r="B93" s="289" t="n"/>
      <x:c r="C93" s="289" t="n"/>
      <x:c r="D93" s="289" t="n"/>
      <x:c r="E93" s="289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289" t="n"/>
      <x:c r="B94" s="289" t="n"/>
      <x:c r="C94" s="289" t="n"/>
      <x:c r="D94" s="289" t="n"/>
      <x:c r="E94" s="289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289" t="n"/>
      <x:c r="B95" s="289" t="n"/>
      <x:c r="C95" s="289" t="n"/>
      <x:c r="D95" s="289" t="n"/>
      <x:c r="E95" s="289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289" t="n"/>
      <x:c r="B96" s="289" t="n"/>
      <x:c r="C96" s="289" t="n"/>
      <x:c r="D96" s="289" t="n"/>
      <x:c r="E96" s="289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289" t="n"/>
      <x:c r="B97" s="289" t="n"/>
      <x:c r="C97" s="289" t="n"/>
      <x:c r="D97" s="289" t="n"/>
      <x:c r="E97" s="289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289" t="n"/>
      <x:c r="B98" s="289" t="n"/>
      <x:c r="C98" s="289" t="n"/>
      <x:c r="D98" s="289" t="n"/>
      <x:c r="E98" s="289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289" t="n"/>
      <x:c r="B99" s="289" t="n"/>
      <x:c r="C99" s="289" t="n"/>
      <x:c r="D99" s="289" t="n"/>
      <x:c r="E99" s="289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289" t="n"/>
      <x:c r="B100" s="289" t="n"/>
      <x:c r="C100" s="289" t="n"/>
      <x:c r="D100" s="289" t="n"/>
      <x:c r="E100" s="289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289" t="n"/>
      <x:c r="B101" s="289" t="n"/>
      <x:c r="C101" s="289" t="n"/>
      <x:c r="D101" s="289" t="n"/>
      <x:c r="E101" s="289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289" t="n"/>
      <x:c r="B102" s="289" t="n"/>
      <x:c r="C102" s="289" t="n"/>
      <x:c r="D102" s="289" t="n"/>
      <x:c r="E102" s="289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289" t="n"/>
      <x:c r="B103" s="289" t="n"/>
      <x:c r="C103" s="289" t="n"/>
      <x:c r="D103" s="289" t="n"/>
      <x:c r="E103" s="289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289" t="n"/>
      <x:c r="B104" s="289" t="n"/>
      <x:c r="C104" s="289" t="n"/>
      <x:c r="D104" s="289" t="n"/>
      <x:c r="E104" s="289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289" t="n"/>
      <x:c r="B105" s="289" t="n"/>
      <x:c r="C105" s="289" t="n"/>
      <x:c r="D105" s="289" t="n"/>
      <x:c r="E105" s="289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289" t="n"/>
      <x:c r="B106" s="289" t="n"/>
      <x:c r="C106" s="289" t="n"/>
      <x:c r="D106" s="289" t="n"/>
      <x:c r="E106" s="289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289" t="n"/>
      <x:c r="B107" s="289" t="n"/>
      <x:c r="C107" s="289" t="n"/>
      <x:c r="D107" s="289" t="n"/>
      <x:c r="E107" s="289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289" t="n"/>
      <x:c r="B108" s="289" t="n"/>
      <x:c r="C108" s="289" t="n"/>
      <x:c r="D108" s="289" t="n"/>
      <x:c r="E108" s="289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289" t="n"/>
      <x:c r="B109" s="289" t="n"/>
      <x:c r="C109" s="289" t="n"/>
      <x:c r="D109" s="289" t="n"/>
      <x:c r="E109" s="289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289" t="n"/>
      <x:c r="B110" s="289" t="n"/>
      <x:c r="C110" s="289" t="n"/>
      <x:c r="D110" s="289" t="n"/>
      <x:c r="E110" s="289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289" t="n"/>
      <x:c r="B111" s="289" t="n"/>
      <x:c r="C111" s="289" t="n"/>
      <x:c r="D111" s="289" t="n"/>
      <x:c r="E111" s="289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289" t="n"/>
      <x:c r="B112" s="289" t="n"/>
      <x:c r="C112" s="289" t="n"/>
      <x:c r="D112" s="289" t="n"/>
      <x:c r="E112" s="289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289" t="n"/>
      <x:c r="B113" s="289" t="n"/>
      <x:c r="C113" s="289" t="n"/>
      <x:c r="D113" s="289" t="n"/>
      <x:c r="E113" s="289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289" t="n"/>
      <x:c r="B114" s="289" t="n"/>
      <x:c r="C114" s="289" t="n"/>
      <x:c r="D114" s="289" t="n"/>
      <x:c r="E114" s="289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289" t="n"/>
      <x:c r="B115" s="289" t="n"/>
      <x:c r="C115" s="289" t="n"/>
      <x:c r="D115" s="289" t="n"/>
      <x:c r="E115" s="289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289" t="n"/>
      <x:c r="B116" s="289" t="n"/>
      <x:c r="C116" s="289" t="n"/>
      <x:c r="D116" s="289" t="n"/>
      <x:c r="E116" s="289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289" t="n"/>
      <x:c r="B117" s="289" t="n"/>
      <x:c r="C117" s="289" t="n"/>
      <x:c r="D117" s="289" t="n"/>
      <x:c r="E117" s="289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289" t="n"/>
      <x:c r="B118" s="289" t="n"/>
      <x:c r="C118" s="289" t="n"/>
      <x:c r="D118" s="289" t="n"/>
      <x:c r="E118" s="289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289" t="n"/>
      <x:c r="B119" s="289" t="n"/>
      <x:c r="C119" s="289" t="n"/>
      <x:c r="D119" s="289" t="n"/>
      <x:c r="E119" s="289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289" t="n"/>
      <x:c r="B120" s="289" t="n"/>
      <x:c r="C120" s="289" t="n"/>
      <x:c r="D120" s="289" t="n"/>
      <x:c r="E120" s="289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289" t="n"/>
      <x:c r="B121" s="289" t="n"/>
      <x:c r="C121" s="289" t="n"/>
      <x:c r="D121" s="289" t="n"/>
      <x:c r="E121" s="289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289" t="n"/>
      <x:c r="B122" s="289" t="n"/>
      <x:c r="C122" s="289" t="n"/>
      <x:c r="D122" s="289" t="n"/>
      <x:c r="E122" s="289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289" t="n"/>
      <x:c r="B123" s="289" t="n"/>
      <x:c r="C123" s="289" t="n"/>
      <x:c r="D123" s="289" t="n"/>
      <x:c r="E123" s="289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289" t="n"/>
      <x:c r="B124" s="289" t="n"/>
      <x:c r="C124" s="289" t="n"/>
      <x:c r="D124" s="289" t="n"/>
      <x:c r="E124" s="289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289" t="n"/>
      <x:c r="B125" s="289" t="n"/>
      <x:c r="C125" s="289" t="n"/>
      <x:c r="D125" s="289" t="n"/>
      <x:c r="E125" s="289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289" t="n"/>
      <x:c r="B126" s="289" t="n"/>
      <x:c r="C126" s="289" t="n"/>
      <x:c r="D126" s="289" t="n"/>
      <x:c r="E126" s="289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289" t="n"/>
      <x:c r="B127" s="289" t="n"/>
      <x:c r="C127" s="289" t="n"/>
      <x:c r="D127" s="289" t="n"/>
      <x:c r="E127" s="289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289" t="n"/>
      <x:c r="B128" s="289" t="n"/>
      <x:c r="C128" s="289" t="n"/>
      <x:c r="D128" s="289" t="n"/>
      <x:c r="E128" s="289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289" t="n"/>
      <x:c r="B129" s="289" t="n"/>
      <x:c r="C129" s="289" t="n"/>
      <x:c r="D129" s="289" t="n"/>
      <x:c r="E129" s="289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289" t="n"/>
      <x:c r="B130" s="289" t="n"/>
      <x:c r="C130" s="289" t="n"/>
      <x:c r="D130" s="289" t="n"/>
      <x:c r="E130" s="289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289" t="n"/>
      <x:c r="B131" s="289" t="n"/>
      <x:c r="C131" s="289" t="n"/>
      <x:c r="D131" s="289" t="n"/>
      <x:c r="E131" s="289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289" t="n"/>
      <x:c r="B132" s="289" t="n"/>
      <x:c r="C132" s="289" t="n"/>
      <x:c r="D132" s="289" t="n"/>
      <x:c r="E132" s="289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289" t="n"/>
      <x:c r="B133" s="289" t="n"/>
      <x:c r="C133" s="289" t="n"/>
      <x:c r="D133" s="289" t="n"/>
      <x:c r="E133" s="289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289" t="n"/>
      <x:c r="B134" s="289" t="n"/>
      <x:c r="C134" s="289" t="n"/>
      <x:c r="D134" s="289" t="n"/>
      <x:c r="E134" s="289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289" t="n"/>
      <x:c r="B135" s="289" t="n"/>
      <x:c r="C135" s="289" t="n"/>
      <x:c r="D135" s="289" t="n"/>
      <x:c r="E135" s="289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289" t="n"/>
      <x:c r="B136" s="289" t="n"/>
      <x:c r="C136" s="289" t="n"/>
      <x:c r="D136" s="289" t="n"/>
      <x:c r="E136" s="289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289" t="n"/>
      <x:c r="B137" s="289" t="n"/>
      <x:c r="C137" s="289" t="n"/>
      <x:c r="D137" s="289" t="n"/>
      <x:c r="E137" s="289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289" t="n"/>
      <x:c r="B138" s="289" t="n"/>
      <x:c r="C138" s="289" t="n"/>
      <x:c r="D138" s="289" t="n"/>
      <x:c r="E138" s="289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289" t="n"/>
      <x:c r="B139" s="289" t="n"/>
      <x:c r="C139" s="289" t="n"/>
      <x:c r="D139" s="289" t="n"/>
      <x:c r="E139" s="289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289" t="n"/>
      <x:c r="B140" s="289" t="n"/>
      <x:c r="C140" s="289" t="n"/>
      <x:c r="D140" s="289" t="n"/>
      <x:c r="E140" s="289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289" t="n"/>
      <x:c r="B141" s="289" t="n"/>
      <x:c r="C141" s="289" t="n"/>
      <x:c r="D141" s="289" t="n"/>
      <x:c r="E141" s="289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289" t="n"/>
      <x:c r="B142" s="289" t="n"/>
      <x:c r="C142" s="289" t="n"/>
      <x:c r="D142" s="289" t="n"/>
      <x:c r="E142" s="289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289" t="n"/>
      <x:c r="B143" s="289" t="n"/>
      <x:c r="C143" s="289" t="n"/>
      <x:c r="D143" s="289" t="n"/>
      <x:c r="E143" s="289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289" t="n"/>
      <x:c r="B144" s="289" t="n"/>
      <x:c r="C144" s="289" t="n"/>
      <x:c r="D144" s="289" t="n"/>
      <x:c r="E144" s="289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289" t="n"/>
      <x:c r="B145" s="289" t="n"/>
      <x:c r="C145" s="289" t="n"/>
      <x:c r="D145" s="289" t="n"/>
      <x:c r="E145" s="289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289" t="n"/>
      <x:c r="B146" s="289" t="n"/>
      <x:c r="C146" s="289" t="n"/>
      <x:c r="D146" s="289" t="n"/>
      <x:c r="E146" s="289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289" t="n"/>
      <x:c r="B147" s="289" t="n"/>
      <x:c r="C147" s="289" t="n"/>
      <x:c r="D147" s="289" t="n"/>
      <x:c r="E147" s="289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289" t="n"/>
      <x:c r="B148" s="289" t="n"/>
      <x:c r="C148" s="289" t="n"/>
      <x:c r="D148" s="289" t="n"/>
      <x:c r="E148" s="289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289" t="n"/>
      <x:c r="B149" s="289" t="n"/>
      <x:c r="C149" s="289" t="n"/>
      <x:c r="D149" s="289" t="n"/>
      <x:c r="E149" s="289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289" t="n"/>
      <x:c r="B150" s="289" t="n"/>
      <x:c r="C150" s="289" t="n"/>
      <x:c r="D150" s="289" t="n"/>
      <x:c r="E150" s="289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289" t="n"/>
      <x:c r="B151" s="289" t="n"/>
      <x:c r="C151" s="289" t="n"/>
      <x:c r="D151" s="289" t="n"/>
      <x:c r="E151" s="289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289" t="n"/>
      <x:c r="B152" s="289" t="n"/>
      <x:c r="C152" s="289" t="n"/>
      <x:c r="D152" s="289" t="n"/>
      <x:c r="E152" s="289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289" t="n"/>
      <x:c r="B153" s="289" t="n"/>
      <x:c r="C153" s="289" t="n"/>
      <x:c r="D153" s="289" t="n"/>
      <x:c r="E153" s="289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289" t="n"/>
      <x:c r="B154" s="289" t="n"/>
      <x:c r="C154" s="289" t="n"/>
      <x:c r="D154" s="289" t="n"/>
      <x:c r="E154" s="289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289" t="n"/>
      <x:c r="B155" s="289" t="n"/>
      <x:c r="C155" s="289" t="n"/>
      <x:c r="D155" s="289" t="n"/>
      <x:c r="E155" s="289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289" t="n"/>
      <x:c r="B156" s="289" t="n"/>
      <x:c r="C156" s="289" t="n"/>
      <x:c r="D156" s="289" t="n"/>
      <x:c r="E156" s="289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289" t="n"/>
      <x:c r="B157" s="289" t="n"/>
      <x:c r="C157" s="289" t="n"/>
      <x:c r="D157" s="289" t="n"/>
      <x:c r="E157" s="289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289" t="n"/>
      <x:c r="B158" s="289" t="n"/>
      <x:c r="C158" s="289" t="n"/>
      <x:c r="D158" s="289" t="n"/>
      <x:c r="E158" s="289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289" t="n"/>
      <x:c r="B159" s="289" t="n"/>
      <x:c r="C159" s="289" t="n"/>
      <x:c r="D159" s="289" t="n"/>
      <x:c r="E159" s="289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289" t="n"/>
      <x:c r="B160" s="289" t="n"/>
      <x:c r="C160" s="289" t="n"/>
      <x:c r="D160" s="289" t="n"/>
      <x:c r="E160" s="289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289" t="n"/>
      <x:c r="B161" s="289" t="n"/>
      <x:c r="C161" s="289" t="n"/>
      <x:c r="D161" s="289" t="n"/>
      <x:c r="E161" s="289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289" t="n"/>
      <x:c r="B162" s="289" t="n"/>
      <x:c r="C162" s="289" t="n"/>
      <x:c r="D162" s="289" t="n"/>
      <x:c r="E162" s="289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289" t="n"/>
      <x:c r="B163" s="289" t="n"/>
      <x:c r="C163" s="289" t="n"/>
      <x:c r="D163" s="289" t="n"/>
      <x:c r="E163" s="289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289" t="n"/>
      <x:c r="B164" s="289" t="n"/>
      <x:c r="C164" s="289" t="n"/>
      <x:c r="D164" s="289" t="n"/>
      <x:c r="E164" s="289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289" t="n"/>
      <x:c r="B165" s="289" t="n"/>
      <x:c r="C165" s="289" t="n"/>
      <x:c r="D165" s="289" t="n"/>
      <x:c r="E165" s="289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289" t="n"/>
      <x:c r="B166" s="289" t="n"/>
      <x:c r="C166" s="289" t="n"/>
      <x:c r="D166" s="289" t="n"/>
      <x:c r="E166" s="289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289" t="n"/>
      <x:c r="B167" s="289" t="n"/>
      <x:c r="C167" s="289" t="n"/>
      <x:c r="D167" s="289" t="n"/>
      <x:c r="E167" s="289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289" t="n"/>
      <x:c r="B168" s="289" t="n"/>
      <x:c r="C168" s="289" t="n"/>
      <x:c r="D168" s="289" t="n"/>
      <x:c r="E168" s="289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289" t="n"/>
      <x:c r="B169" s="289" t="n"/>
      <x:c r="C169" s="289" t="n"/>
      <x:c r="D169" s="289" t="n"/>
      <x:c r="E169" s="289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289" t="n"/>
      <x:c r="B170" s="289" t="n"/>
      <x:c r="C170" s="289" t="n"/>
      <x:c r="D170" s="289" t="n"/>
      <x:c r="E170" s="289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289" t="n"/>
      <x:c r="B171" s="289" t="n"/>
      <x:c r="C171" s="289" t="n"/>
      <x:c r="D171" s="289" t="n"/>
      <x:c r="E171" s="289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289" t="n"/>
      <x:c r="B172" s="289" t="n"/>
      <x:c r="C172" s="289" t="n"/>
      <x:c r="D172" s="289" t="n"/>
      <x:c r="E172" s="289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289" t="n"/>
      <x:c r="B173" s="289" t="n"/>
      <x:c r="C173" s="289" t="n"/>
      <x:c r="D173" s="289" t="n"/>
      <x:c r="E173" s="289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289" t="n"/>
      <x:c r="B174" s="289" t="n"/>
      <x:c r="C174" s="289" t="n"/>
      <x:c r="D174" s="289" t="n"/>
      <x:c r="E174" s="289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289" t="n"/>
      <x:c r="B175" s="289" t="n"/>
      <x:c r="C175" s="289" t="n"/>
      <x:c r="D175" s="289" t="n"/>
      <x:c r="E175" s="289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289" t="n"/>
      <x:c r="B176" s="289" t="n"/>
      <x:c r="C176" s="289" t="n"/>
      <x:c r="D176" s="289" t="n"/>
      <x:c r="E176" s="289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289" t="n"/>
      <x:c r="B177" s="289" t="n"/>
      <x:c r="C177" s="289" t="n"/>
      <x:c r="D177" s="289" t="n"/>
      <x:c r="E177" s="289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289" t="n"/>
      <x:c r="B178" s="289" t="n"/>
      <x:c r="C178" s="289" t="n"/>
      <x:c r="D178" s="289" t="n"/>
      <x:c r="E178" s="289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289" t="n"/>
      <x:c r="B179" s="289" t="n"/>
      <x:c r="C179" s="289" t="n"/>
      <x:c r="D179" s="289" t="n"/>
      <x:c r="E179" s="289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289" t="n"/>
      <x:c r="B180" s="289" t="n"/>
      <x:c r="C180" s="289" t="n"/>
      <x:c r="D180" s="289" t="n"/>
      <x:c r="E180" s="289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289" t="n"/>
      <x:c r="B181" s="289" t="n"/>
      <x:c r="C181" s="289" t="n"/>
      <x:c r="D181" s="289" t="n"/>
      <x:c r="E181" s="289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289" t="n"/>
      <x:c r="B182" s="289" t="n"/>
      <x:c r="C182" s="289" t="n"/>
      <x:c r="D182" s="289" t="n"/>
      <x:c r="E182" s="289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289" t="n"/>
      <x:c r="B183" s="289" t="n"/>
      <x:c r="C183" s="289" t="n"/>
      <x:c r="D183" s="289" t="n"/>
      <x:c r="E183" s="289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289" t="n"/>
      <x:c r="B184" s="289" t="n"/>
      <x:c r="C184" s="289" t="n"/>
      <x:c r="D184" s="289" t="n"/>
      <x:c r="E184" s="289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289" t="n"/>
      <x:c r="B185" s="289" t="n"/>
      <x:c r="C185" s="289" t="n"/>
      <x:c r="D185" s="289" t="n"/>
      <x:c r="E185" s="289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289" t="n"/>
      <x:c r="B186" s="289" t="n"/>
      <x:c r="C186" s="289" t="n"/>
      <x:c r="D186" s="289" t="n"/>
      <x:c r="E186" s="289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289" t="n"/>
      <x:c r="B187" s="289" t="n"/>
      <x:c r="C187" s="289" t="n"/>
      <x:c r="D187" s="289" t="n"/>
      <x:c r="E187" s="289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289" t="n"/>
      <x:c r="B188" s="289" t="n"/>
      <x:c r="C188" s="289" t="n"/>
      <x:c r="D188" s="289" t="n"/>
      <x:c r="E188" s="289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289" t="n"/>
      <x:c r="B189" s="289" t="n"/>
      <x:c r="C189" s="289" t="n"/>
      <x:c r="D189" s="289" t="n"/>
      <x:c r="E189" s="289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289" t="n"/>
      <x:c r="B190" s="289" t="n"/>
      <x:c r="C190" s="289" t="n"/>
      <x:c r="D190" s="289" t="n"/>
      <x:c r="E190" s="289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289" t="n"/>
      <x:c r="B191" s="289" t="n"/>
      <x:c r="C191" s="289" t="n"/>
      <x:c r="D191" s="289" t="n"/>
      <x:c r="E191" s="289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289" t="n"/>
      <x:c r="B192" s="289" t="n"/>
      <x:c r="C192" s="289" t="n"/>
      <x:c r="D192" s="289" t="n"/>
      <x:c r="E192" s="289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289" t="n"/>
      <x:c r="B193" s="289" t="n"/>
      <x:c r="C193" s="289" t="n"/>
      <x:c r="D193" s="289" t="n"/>
      <x:c r="E193" s="289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289" t="n"/>
      <x:c r="B194" s="289" t="n"/>
      <x:c r="C194" s="289" t="n"/>
      <x:c r="D194" s="289" t="n"/>
      <x:c r="E194" s="289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289" t="n"/>
      <x:c r="B195" s="289" t="n"/>
      <x:c r="C195" s="289" t="n"/>
      <x:c r="D195" s="289" t="n"/>
      <x:c r="E195" s="289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289" t="n"/>
      <x:c r="B196" s="289" t="n"/>
      <x:c r="C196" s="289" t="n"/>
      <x:c r="D196" s="289" t="n"/>
      <x:c r="E196" s="289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289" t="n"/>
      <x:c r="B197" s="289" t="n"/>
      <x:c r="C197" s="289" t="n"/>
      <x:c r="D197" s="289" t="n"/>
      <x:c r="E197" s="289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289" t="n"/>
      <x:c r="B198" s="289" t="n"/>
      <x:c r="C198" s="289" t="n"/>
      <x:c r="D198" s="289" t="n"/>
      <x:c r="E198" s="289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289" t="n"/>
      <x:c r="B199" s="289" t="n"/>
      <x:c r="C199" s="289" t="n"/>
      <x:c r="D199" s="289" t="n"/>
      <x:c r="E199" s="289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289" t="n"/>
      <x:c r="B200" s="289" t="n"/>
      <x:c r="C200" s="289" t="n"/>
      <x:c r="D200" s="289" t="n"/>
      <x:c r="E200" s="289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mergeCells>
    <x:mergeCell ref="C6:D6"/>
    <x:mergeCell ref="A24:H24"/>
    <x:mergeCell ref="C5:D5"/>
    <x:mergeCell ref="E5:F5"/>
    <x:mergeCell ref="A1:H1"/>
    <x:mergeCell ref="G8:H8"/>
    <x:mergeCell ref="E8:F8"/>
    <x:mergeCell ref="A6:B6"/>
    <x:mergeCell ref="C4:D4"/>
    <x:mergeCell ref="E4:F4"/>
    <x:mergeCell ref="C10:D10"/>
    <x:mergeCell ref="E10:F10"/>
    <x:mergeCell ref="G10:H10"/>
    <x:mergeCell ref="G6:H6"/>
    <x:mergeCell ref="C9:D9"/>
    <x:mergeCell ref="E9:F9"/>
    <x:mergeCell ref="A18:H18"/>
    <x:mergeCell ref="E6:F6"/>
    <x:mergeCell ref="A21:H21"/>
    <x:mergeCell ref="A2:H2"/>
    <x:mergeCell ref="A5:B5"/>
    <x:mergeCell ref="G5:H5"/>
    <x:mergeCell ref="A14:H14"/>
    <x:mergeCell ref="A8:B8"/>
    <x:mergeCell ref="C8:D8"/>
    <x:mergeCell ref="A22:H22"/>
    <x:mergeCell ref="A17:H17"/>
    <x:mergeCell ref="A4:B4"/>
    <x:mergeCell ref="G4:H4"/>
    <x:mergeCell ref="A10:B10"/>
    <x:mergeCell ref="A13:H13"/>
    <x:mergeCell ref="A9:B9"/>
    <x:mergeCell ref="G9:H9"/>
  </x:mergeCells>
  <x:pageMargins left="0.7" right="0.7" top="0.75" bottom="0.75" header="0.3" footer="0.3"/>
  <x:drawing xmlns:r="http://schemas.openxmlformats.org/officeDocument/2006/relationships" r:id="R1b04fec8742546c9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style="62" customWidth="1"/>
    <x:col min="2" max="2" width="34" style="62" customWidth="1"/>
    <x:col min="3" max="3" width="14" style="62" customWidth="1"/>
    <x:col min="4" max="4" width="15" style="62" customWidth="1"/>
    <x:col min="5" max="5" width="52" style="62" customWidth="1"/>
    <x:col min="6" max="6" width="42" style="62" customWidth="1"/>
  </x:cols>
  <x:sheetData>
    <x:row r="1" s="62" customFormat="1" ht="32" customHeight="1">
      <x:c r="A1" s="411" t="inlineStr">
        <x:is>
          <x:t xml:space="preserve">ID</x:t>
        </x:is>
      </x:c>
      <x:c r="B1" s="411" t="inlineStr">
        <x:is>
          <x:t xml:space="preserve">Source</x:t>
        </x:is>
      </x:c>
      <x:c r="C1" s="411" t="inlineStr">
        <x:is>
          <x:t xml:space="preserve">Date</x:t>
        </x:is>
      </x:c>
      <x:c r="D1" s="411" t="inlineStr">
        <x:is>
          <x:t xml:space="preserve">Publisher</x:t>
        </x:is>
      </x:c>
      <x:c r="E1" s="411" t="inlineStr">
        <x:is>
          <x:t xml:space="preserve">Link / locator</x:t>
        </x:is>
      </x:c>
      <x:c r="F1" s="411" t="inlineStr">
        <x:is>
          <x:t xml:space="preserve">Use in project</x:t>
        </x:is>
      </x:c>
      <x:c r="G1" s="289" t="n"/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48" customHeight="1">
      <x:c r="A2" s="413" t="inlineStr">
        <x:is>
          <x:t xml:space="preserve">S1</x:t>
        </x:is>
      </x:c>
      <x:c r="B2" s="419" t="inlineStr">
        <x:is>
          <x:t xml:space="preserve">BMW Group Report 2025</x:t>
        </x:is>
      </x:c>
      <x:c r="C2" s="413" t="inlineStr">
        <x:is>
          <x:t xml:space="preserve">12 Mar 2026</x:t>
        </x:is>
      </x:c>
      <x:c r="D2" s="419" t="inlineStr">
        <x:is>
          <x:t xml:space="preserve">BMW Group</x:t>
        </x:is>
      </x:c>
      <x:c r="E2" s="419" t="inlineStr">
        <x:is>
          <x:t xml:space="preserve">https://www.bmwgroup.com/en/report/2025/management-report/index.html</x:t>
        </x:is>
      </x:c>
      <x:c r="F2" s="450" t="inlineStr">
        <x:is>
          <x:t xml:space="preserve">2025 vehicle-plant programme and drivetrain portfolios</x:t>
        </x:is>
      </x:c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48" customHeight="1">
      <x:c r="A3" s="416" t="inlineStr">
        <x:is>
          <x:t xml:space="preserve">S2</x:t>
        </x:is>
      </x:c>
      <x:c r="B3" s="420" t="inlineStr">
        <x:is>
          <x:t xml:space="preserve">The BMW Production Network of the Future</x:t>
        </x:is>
      </x:c>
      <x:c r="C3" s="416" t="inlineStr">
        <x:is>
          <x:t xml:space="preserve">24 Mar 2025</x:t>
        </x:is>
      </x:c>
      <x:c r="D3" s="420" t="inlineStr">
        <x:is>
          <x:t xml:space="preserve">BMW Group</x:t>
        </x:is>
      </x:c>
      <x:c r="E3" s="420" t="inlineStr">
        <x:is>
          <x:t xml:space="preserve">https://www.bmwgroup.com/en/news/general/2025/production-network-of-the-future.html</x:t>
        </x:is>
      </x:c>
      <x:c r="F3" s="450" t="inlineStr">
        <x:is>
          <x:t xml:space="preserve">Network strategy, flexible plants and regional balance</x:t>
        </x:is>
      </x:c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48" customHeight="1">
      <x:c r="A4" s="413" t="inlineStr">
        <x:is>
          <x:t xml:space="preserve">S3</x:t>
        </x:is>
      </x:c>
      <x:c r="B4" s="419" t="inlineStr">
        <x:is>
          <x:t xml:space="preserve">How Data Scientists are Shaping the Future of Electromobility / Gen6 battery production</x:t>
        </x:is>
      </x:c>
      <x:c r="C4" s="413" t="inlineStr">
        <x:is>
          <x:t xml:space="preserve">22 Oct 2025</x:t>
        </x:is>
      </x:c>
      <x:c r="D4" s="419" t="inlineStr">
        <x:is>
          <x:t xml:space="preserve">BMW Group</x:t>
        </x:is>
      </x:c>
      <x:c r="E4" s="419" t="inlineStr">
        <x:is>
          <x:t xml:space="preserve">https://www.bmwgroup.com/en/news/general/2025/battery-production-at-bmw.html</x:t>
        </x:is>
      </x:c>
      <x:c r="F4" s="450" t="inlineStr">
        <x:is>
          <x:t xml:space="preserve">Gen6 battery production footprint and local-for-local architecture</x:t>
        </x:is>
      </x:c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48" customHeight="1">
      <x:c r="A5" s="416" t="inlineStr">
        <x:is>
          <x:t xml:space="preserve">S4</x:t>
        </x:is>
      </x:c>
      <x:c r="B5" s="420" t="inlineStr">
        <x:is>
          <x:t xml:space="preserve">BMW Group’s newest, most innovative production site officially opens in Debrecen</x:t>
        </x:is>
      </x:c>
      <x:c r="C5" s="416" t="inlineStr">
        <x:is>
          <x:t xml:space="preserve">29 Sep 2025</x:t>
        </x:is>
      </x:c>
      <x:c r="D5" s="420" t="inlineStr">
        <x:is>
          <x:t xml:space="preserve">BMW Group</x:t>
        </x:is>
      </x:c>
      <x:c r="E5" s="420" t="inlineStr">
        <x:is>
          <x:t xml:space="preserve">https://www.press.bmwgroup.com/global/article/detail/T0453043EN/?forceSitePreference=DESKTOP</x:t>
        </x:is>
      </x:c>
      <x:c r="F5" s="450" t="inlineStr">
        <x:is>
          <x:t xml:space="preserve">Debrecen opening, iX3 launch timing and on-site Gen6 battery assembly</x:t>
        </x:is>
      </x:c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48" customHeight="1">
      <x:c r="A6" s="413" t="inlineStr">
        <x:is>
          <x:t xml:space="preserve">S5</x:t>
        </x:is>
      </x:c>
      <x:c r="B6" s="419" t="inlineStr">
        <x:is>
          <x:t xml:space="preserve">Major milestone: First pre-series vehicles for new BMW i3 roll off the assembly line at BMW Group Plant Munich</x:t>
        </x:is>
      </x:c>
      <x:c r="C6" s="413" t="inlineStr">
        <x:is>
          <x:t xml:space="preserve">4 Feb 2026</x:t>
        </x:is>
      </x:c>
      <x:c r="D6" s="419" t="inlineStr">
        <x:is>
          <x:t xml:space="preserve">BMW Group</x:t>
        </x:is>
      </x:c>
      <x:c r="E6" s="419" t="inlineStr">
        <x:is>
          <x:t xml:space="preserve">https://www.press.bmwgroup.com/global/article/detail/T0455411EN/major-milestone%3A-first-pre-series-vehicles-for-new-bmw-i3-roll-off-the-assembly-line-at-bmw-group-plant-munich</x:t>
        </x:is>
      </x:c>
      <x:c r="F6" s="450" t="inlineStr">
        <x:is>
          <x:t xml:space="preserve">Munich pre-series i3 milestone and conversion</x:t>
        </x:is>
      </x:c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48" customHeight="1">
      <x:c r="A7" s="416" t="inlineStr">
        <x:is>
          <x:t xml:space="preserve">S6</x:t>
        </x:is>
      </x:c>
      <x:c r="B7" s="420" t="inlineStr">
        <x:is>
          <x:t xml:space="preserve">Strong demand following early order opening: BMW Plant Munich launches BMW i3 series production with steep ramp-up curve</x:t>
        </x:is>
      </x:c>
      <x:c r="C7" s="416" t="inlineStr">
        <x:is>
          <x:t xml:space="preserve">6 Aug 2026</x:t>
        </x:is>
      </x:c>
      <x:c r="D7" s="420" t="inlineStr">
        <x:is>
          <x:t xml:space="preserve">BMW Group</x:t>
        </x:is>
      </x:c>
      <x:c r="E7" s="420" t="inlineStr">
        <x:is>
          <x:t xml:space="preserve">https://www.press.bmwgroup.com/global/article/detail/T0459893EN/strong-demand-following-early-order-opening-bmw-plant-munich-launches-bmw-i3-series-production-with-steep-ramp-up-curve</x:t>
        </x:is>
      </x:c>
      <x:c r="F7" s="450" t="inlineStr">
        <x:is>
          <x:t xml:space="preserve">Munich i3 series production and 2027 BEV-only plan</x:t>
        </x:is>
      </x:c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48" customHeight="1">
      <x:c r="A8" s="413" t="inlineStr">
        <x:is>
          <x:t xml:space="preserve">S7</x:t>
        </x:is>
      </x:c>
      <x:c r="B8" s="419" t="inlineStr">
        <x:is>
          <x:t xml:space="preserve">New BMW 7 Series ramps up in Dingolfing: Progressive luxury meets Neue Klasse technologies</x:t>
        </x:is>
      </x:c>
      <x:c r="C8" s="413" t="inlineStr">
        <x:is>
          <x:t xml:space="preserve">1 Jul 2026</x:t>
        </x:is>
      </x:c>
      <x:c r="D8" s="419" t="inlineStr">
        <x:is>
          <x:t xml:space="preserve">BMW Group</x:t>
        </x:is>
      </x:c>
      <x:c r="E8" s="419" t="inlineStr">
        <x:is>
          <x:t xml:space="preserve">https://www.press.bmwgroup.com/global/article/detail/T0458808EN/new-bmw-7-series-ramps-up-in-dingolfing%3A-progressive-luxury-meets-neue-klasse-technologies</x:t>
        </x:is>
      </x:c>
      <x:c r="F8" s="450" t="inlineStr">
        <x:is>
          <x:t xml:space="preserve">Neue Klasse technologies introduced into established 7 Series production</x:t>
        </x:is>
      </x:c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48" customHeight="1">
      <x:c r="A9" s="416" t="inlineStr">
        <x:is>
          <x:t xml:space="preserve">S8</x:t>
        </x:is>
      </x:c>
      <x:c r="B9" s="420" t="inlineStr">
        <x:is>
          <x:t xml:space="preserve">BMW Group Plant Regensburg marks 40th anniversary with record production</x:t>
        </x:is>
      </x:c>
      <x:c r="C9" s="416" t="inlineStr">
        <x:is>
          <x:t xml:space="preserve">2 Feb 2026</x:t>
        </x:is>
      </x:c>
      <x:c r="D9" s="420" t="inlineStr">
        <x:is>
          <x:t xml:space="preserve">BMW Group</x:t>
        </x:is>
      </x:c>
      <x:c r="E9" s="420" t="inlineStr">
        <x:is>
          <x:t xml:space="preserve">https://www.press.bmwgroup.com/global/article/detail/T0455203EN/bmw-group-plant-regensburg-marks-40th-anniversary-with-record-production</x:t>
        </x:is>
      </x:c>
      <x:c r="F9" s="450" t="inlineStr">
        <x:is>
          <x:t xml:space="preserve">356,901 vehicles in 2025 and flexible multi-drivetrain production</x:t>
        </x:is>
      </x:c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48" customHeight="1">
      <x:c r="A10" s="413" t="inlineStr">
        <x:is>
          <x:t xml:space="preserve">S9</x:t>
        </x:is>
      </x:c>
      <x:c r="B10" s="419" t="inlineStr">
        <x:is>
          <x:t xml:space="preserve">Think global - act local for local: Where the BMW Group will make its next generation of high-voltage batteries</x:t>
        </x:is>
      </x:c>
      <x:c r="C10" s="413" t="inlineStr">
        <x:is>
          <x:t xml:space="preserve">30 Jul 2024</x:t>
        </x:is>
      </x:c>
      <x:c r="D10" s="419" t="inlineStr">
        <x:is>
          <x:t xml:space="preserve">BMW Group</x:t>
        </x:is>
      </x:c>
      <x:c r="E10" s="419" t="inlineStr">
        <x:is>
          <x:t xml:space="preserve">https://www.press.bmwgroup.com/global/article/detail/T0444009EN/think-global-%E2%80%93-act-local-for-local%3A-where-the-bmw-group-will-make-its-next-generation-of-high-voltage-batteries?language=en</x:t>
        </x:is>
      </x:c>
      <x:c r="F10" s="450" t="inlineStr">
        <x:is>
          <x:t xml:space="preserve">Five Gen6 battery assembly locations and local-for-local principle</x:t>
        </x:is>
      </x:c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48" customHeight="1">
      <x:c r="A11" s="416" t="inlineStr">
        <x:is>
          <x:t xml:space="preserve">S10</x:t>
        </x:is>
      </x:c>
      <x:c r="B11" s="420" t="inlineStr">
        <x:is>
          <x:t xml:space="preserve">BMW Group Half-Year Report to 30 June 2026</x:t>
        </x:is>
      </x:c>
      <x:c r="C11" s="416" t="inlineStr">
        <x:is>
          <x:t xml:space="preserve">30 Jul 2026</x:t>
        </x:is>
      </x:c>
      <x:c r="D11" s="420" t="inlineStr">
        <x:is>
          <x:t xml:space="preserve">BMW Group</x:t>
        </x:is>
      </x:c>
      <x:c r="E11" s="420" t="inlineStr">
        <x:is>
          <x:t xml:space="preserve">https://www.press.bmwgroup.com/global/article/detail/T0459732EN/bmw-group-half-year-report-to-30-june-2026</x:t>
        </x:is>
      </x:c>
      <x:c r="F11" s="450" t="inlineStr">
        <x:is>
          <x:t xml:space="preserve">H1 2026 production, deliveries, inventory, working capital and FCF</x:t>
        </x:is>
      </x:c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48" customHeight="1">
      <x:c r="A12" s="413" t="inlineStr">
        <x:is>
          <x:t xml:space="preserve">S11</x:t>
        </x:is>
      </x:c>
      <x:c r="B12" s="419" t="inlineStr">
        <x:is>
          <x:t xml:space="preserve">Statement by Walter Mertl, Finance, conference call</x:t>
        </x:is>
      </x:c>
      <x:c r="C12" s="413" t="inlineStr">
        <x:is>
          <x:t xml:space="preserve">30 Jul 2026</x:t>
        </x:is>
      </x:c>
      <x:c r="D12" s="419" t="inlineStr">
        <x:is>
          <x:t xml:space="preserve">BMW Group</x:t>
        </x:is>
      </x:c>
      <x:c r="E12" s="419" t="inlineStr">
        <x:is>
          <x:t xml:space="preserve">https://www.press.bmwgroup.com/global/article/detail/T0459738EN/statement-walter-mertl-member-of-the-board-of-management-of-bmw-ag-finance-conference-call-quarterly-statement-to-30-june-2026</x:t>
        </x:is>
      </x:c>
      <x:c r="F12" s="450" t="inlineStr">
        <x:is>
          <x:t xml:space="preserve">Management explanation of H1/Q2 working-capital effect and production exceeding sales</x:t>
        </x:is>
      </x:c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48" customHeight="1">
      <x:c r="A13" s="416" t="inlineStr">
        <x:is>
          <x:t xml:space="preserve">S12</x:t>
        </x:is>
      </x:c>
      <x:c r="B13" s="420" t="inlineStr">
        <x:is>
          <x:t xml:space="preserve">BMW Group completes $1.7 billion U.S. investment and premieres all-new BMW X5</x:t>
        </x:is>
      </x:c>
      <x:c r="C13" s="416" t="inlineStr">
        <x:is>
          <x:t xml:space="preserve">30 Jun 2026</x:t>
        </x:is>
      </x:c>
      <x:c r="D13" s="420" t="inlineStr">
        <x:is>
          <x:t xml:space="preserve">BMW Group</x:t>
        </x:is>
      </x:c>
      <x:c r="E13" s="420" t="inlineStr">
        <x:is>
          <x:t xml:space="preserve">https://www.press.bmwgroup.com/usa/article/detail/T0458940EN_US/bmw-group-completes-1-7-billion-u-s-investment-and-premieres-all-new-bmw-x5-at-home-of-x-event-in-spartanburg-sc</x:t>
        </x:is>
      </x:c>
      <x:c r="F13" s="450" t="inlineStr">
        <x:is>
          <x:t xml:space="preserve">Spartanburg expansion and Woodruff battery network</x:t>
        </x:is>
      </x:c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48" customHeight="1">
      <x:c r="A14" s="413" t="inlineStr">
        <x:is>
          <x:t xml:space="preserve">S13</x:t>
        </x:is>
      </x:c>
      <x:c r="B14" s="419" t="inlineStr">
        <x:is>
          <x:t xml:space="preserve">First glimpse into production: BMW Group Plant Woodruff assembles high-voltage batteries for the new BMW iX5</x:t>
        </x:is>
      </x:c>
      <x:c r="C14" s="413" t="inlineStr">
        <x:is>
          <x:t xml:space="preserve">27 Jul 2026</x:t>
        </x:is>
      </x:c>
      <x:c r="D14" s="419" t="inlineStr">
        <x:is>
          <x:t xml:space="preserve">BMW Group</x:t>
        </x:is>
      </x:c>
      <x:c r="E14" s="419" t="inlineStr">
        <x:is>
          <x:t xml:space="preserve">https://www.press.bmwgroup.com/global/article/detail/T0459241EN/first-glimpse-into-production-bmw-group-plant-woodruff-assembles-high-voltage-batteries-for-the-new</x:t>
        </x:is>
      </x:c>
      <x:c r="F14" s="450" t="inlineStr">
        <x:is>
          <x:t xml:space="preserve">Woodruff Gen6 battery production timing and local coupling to Spartanburg</x:t>
        </x:is>
      </x:c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48" customHeight="1">
      <x:c r="A15" s="416" t="inlineStr">
        <x:is>
          <x:t xml:space="preserve">S14</x:t>
        </x:is>
      </x:c>
      <x:c r="B15" s="420" t="inlineStr">
        <x:is>
          <x:t xml:space="preserve">The start of a new era. The new BMW iX3</x:t>
        </x:is>
      </x:c>
      <x:c r="C15" s="416" t="inlineStr">
        <x:is>
          <x:t xml:space="preserve">5 Sep 2025</x:t>
        </x:is>
      </x:c>
      <x:c r="D15" s="420" t="inlineStr">
        <x:is>
          <x:t xml:space="preserve">BMW Group</x:t>
        </x:is>
      </x:c>
      <x:c r="E15" s="420" t="inlineStr">
        <x:is>
          <x:t xml:space="preserve">https://www.press.bmwgroup.com/global/article/detail/T0452405EN/world-premiere-bmw-ix3</x:t>
        </x:is>
      </x:c>
      <x:c r="F15" s="450" t="inlineStr">
        <x:is>
          <x:t xml:space="preserve">Neue Klasse iX3, Debrecen series production and China rollout</x:t>
        </x:is>
      </x:c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 s="62" customFormat="1" ht="48" customHeight="1">
      <x:c r="A16" s="413" t="inlineStr">
        <x:is>
          <x:t xml:space="preserve">S15</x:t>
        </x:is>
      </x:c>
      <x:c r="B16" s="419" t="inlineStr">
        <x:is>
          <x:t xml:space="preserve">Construction of high-voltage battery assembly gets underway at BMW Group Plant San Luis Potosí</x:t>
        </x:is>
      </x:c>
      <x:c r="C16" s="413" t="inlineStr">
        <x:is>
          <x:t xml:space="preserve">3 May 2024</x:t>
        </x:is>
      </x:c>
      <x:c r="D16" s="419" t="inlineStr">
        <x:is>
          <x:t xml:space="preserve">BMW Group</x:t>
        </x:is>
      </x:c>
      <x:c r="E16" s="419" t="inlineStr">
        <x:is>
          <x:t xml:space="preserve">https://www.press.bmwgroup.com/global/article/detail/T0441546EN/construction-of-high-voltage-battery-assembly-gets-underway-at-bmw-group-plant-san-luis-potos%C3%AD?language=en</x:t>
        </x:is>
      </x:c>
      <x:c r="F16" s="450" t="inlineStr">
        <x:is>
          <x:t xml:space="preserve">2027 Neue Klasse production and local battery assembly</x:t>
        </x:is>
      </x:c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 s="62" customFormat="1" ht="88" customHeight="1">
      <x:c r="A17" s="663" t="str">
        <x:v>S16</x:v>
      </x:c>
      <x:c r="B17" s="663" t="str">
        <x:v>Erneuter Produktionsrekord für das BMW Group Werk Leipzig: 2025 liefen am Standort über 259.000 Fahrzeuge vom Band</x:v>
      </x:c>
      <x:c r="C17" s="705" t="str">
        <x:v>7 Jan 2026</x:v>
      </x:c>
      <x:c r="D17" s="663" t="str">
        <x:v>BMW Group</x:v>
      </x:c>
      <x:c r="E17" s="663" t="str">
        <x:v>https://www.press.bmwgroup.com/deutschland/article/detail/T0454783DE/erneuter-produktionsrekord-fuer-das-bmw-group-werk-leipzig%3A-2025-liefen-am-standort-ueber-259-000-fahrzeuge-vom-band</x:v>
      </x:c>
      <x:c r="F17" s="589" t="str">
        <x:v>259,430 vehicles produced at Leipzig in 2025</x:v>
      </x:c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 s="62" customFormat="1" ht="44" customHeight="1">
      <x:c r="A18" s="190" t="n"/>
      <x:c r="B18" s="190" t="n"/>
      <x:c r="C18" s="223" t="n"/>
      <x:c r="D18" s="190" t="n"/>
      <x:c r="E18" s="190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 s="62" customFormat="1" ht="34" customHeight="1">
      <x:c r="A19" s="113" t="n"/>
      <x:c r="B19" s="113" t="n"/>
      <x:c r="C19" s="114" t="n"/>
      <x:c r="D19" s="113" t="n"/>
      <x:c r="E19" s="113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 s="62" customFormat="1" ht="34" customHeight="1">
      <x:c r="A20" s="113" t="n"/>
      <x:c r="B20" s="113" t="n"/>
      <x:c r="C20" s="114" t="n"/>
      <x:c r="D20" s="113" t="n"/>
      <x:c r="E20" s="113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113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113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113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113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113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113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113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113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113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113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tableParts count="1">
    <x:tablePart xmlns:r="http://schemas.openxmlformats.org/officeDocument/2006/relationships" r:id="R392356ba9f2c4a0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style="62" hidden="0" customWidth="1"/>
    <x:col min="2" max="2" width="16" style="62" hidden="0" customWidth="1"/>
    <x:col min="3" max="3" width="16" style="62" hidden="0" customWidth="1"/>
    <x:col min="4" max="4" width="36" style="62" hidden="0" customWidth="1"/>
    <x:col min="5" max="5" width="16" style="62" hidden="0" customWidth="1"/>
    <x:col min="6" max="6" width="12" style="62" hidden="0" customWidth="1"/>
    <x:col min="7" max="7" width="38" style="62" hidden="0" customWidth="1"/>
    <x:col min="8" max="8" width="32" style="62" hidden="0" customWidth="1"/>
    <x:col min="9" max="9" width="15" style="62" hidden="0" customWidth="1"/>
    <x:col min="10" max="10" width="13" style="62" hidden="0" customWidth="1"/>
    <x:col min="11" max="11" width="14" style="62" hidden="0" customWidth="1"/>
    <x:col min="12" max="12" width="17" style="62" hidden="0" customWidth="1"/>
  </x:cols>
  <x:sheetData>
    <x:row r="1" s="62" customFormat="1" ht="34" customHeight="1">
      <x:c r="A1" s="944" t="inlineStr">
        <x:is>
          <x:t xml:space="preserve">Site</x:t>
        </x:is>
      </x:c>
      <x:c r="B1" s="944" t="inlineStr">
        <x:is>
          <x:t xml:space="preserve">Country</x:t>
        </x:is>
      </x:c>
      <x:c r="C1" s="944" t="inlineStr">
        <x:is>
          <x:t xml:space="preserve">Brand scope</x:t>
        </x:is>
      </x:c>
      <x:c r="D1" s="944" t="inlineStr">
        <x:is>
          <x:t xml:space="preserve">2025 series production programme</x:t>
        </x:is>
      </x:c>
      <x:c r="E1" s="944" t="inlineStr">
        <x:is>
          <x:t xml:space="preserve">Drivetrain portfolio</x:t>
        </x:is>
      </x:c>
      <x:c r="F1" s="944" t="inlineStr">
        <x:is>
          <x:t xml:space="preserve">Model-line count</x:t>
        </x:is>
      </x:c>
      <x:c r="G1" s="944" t="inlineStr">
        <x:is>
          <x:t xml:space="preserve">Neue Klasse / transition position</x:t>
        </x:is>
      </x:c>
      <x:c r="H1" s="944" t="inlineStr">
        <x:is>
          <x:t xml:space="preserve">Battery linkage</x:t>
        </x:is>
      </x:c>
      <x:c r="I1" s="944" t="inlineStr">
        <x:is>
          <x:t xml:space="preserve">Source</x:t>
        </x:is>
      </x:c>
      <x:c r="J1" s="944" t="inlineStr">
        <x:is>
          <x:t xml:space="preserve">Matrix scope</x:t>
        </x:is>
      </x:c>
      <x:c r="K1" s="944" t="inlineStr">
        <x:is>
          <x:t xml:space="preserve">Drivetrain breadth</x:t>
        </x:is>
      </x:c>
      <x:c r="L1" s="944" t="inlineStr">
        <x:is>
          <x:t xml:space="preserve">Publication boundary</x:t>
        </x:is>
      </x:c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62" customHeight="1">
      <x:c r="A2" s="708" t="inlineStr">
        <x:is>
          <x:t xml:space="preserve">Araquari</x:t>
        </x:is>
      </x:c>
      <x:c r="B2" s="708" t="inlineStr">
        <x:is>
          <x:t xml:space="preserve">Brazil</x:t>
        </x:is>
      </x:c>
      <x:c r="C2" s="708" t="inlineStr">
        <x:is>
          <x:t xml:space="preserve">BMW</x:t>
        </x:is>
      </x:c>
      <x:c r="D2" s="708" t="inlineStr">
        <x:is>
          <x:t xml:space="preserve">BMW 3 Series; BMW X1; BMW X4; BMW X5</x:t>
        </x:is>
      </x:c>
      <x:c r="E2" s="708" t="inlineStr">
        <x:is>
          <x:t xml:space="preserve">ICE, PHEV</x:t>
        </x:is>
      </x:c>
      <x:c r="F2" s="946" t="n">
        <x:v>4</x:v>
      </x:c>
      <x:c r="G2" s="708" t="inlineStr">
        <x:is>
          <x:t xml:space="preserve">No specific Neue Klasse vehicle start identified in selected sources by 10 Aug 2026</x:t>
        </x:is>
      </x:c>
      <x:c r="H2" s="708" t="inlineStr">
        <x:is>
          <x:t xml:space="preserve">No selected Gen6 vehicle-battery node identified</x:t>
        </x:is>
      </x:c>
      <x:c r="I2" s="708" t="inlineStr">
        <x:is>
          <x:t xml:space="preserve">S1</x:t>
        </x:is>
      </x:c>
      <x:c r="J2" s="708" t="inlineStr">
        <x:is>
          <x:t xml:space="preserve">Comparable</x:t>
        </x:is>
      </x:c>
      <x:c r="K2" s="946" t="n">
        <x:v>2</x:v>
      </x:c>
      <x:c r="L2" s="708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62" customHeight="1">
      <x:c r="A3" s="663" t="inlineStr">
        <x:is>
          <x:t xml:space="preserve">Chennai</x:t>
        </x:is>
      </x:c>
      <x:c r="B3" s="663" t="inlineStr">
        <x:is>
          <x:t xml:space="preserve">India</x:t>
        </x:is>
      </x:c>
      <x:c r="C3" s="663" t="inlineStr">
        <x:is>
          <x:t xml:space="preserve">BMW</x:t>
        </x:is>
      </x:c>
      <x:c r="D3" s="663" t="inlineStr">
        <x:is>
          <x:t xml:space="preserve">BMW 2 Series; BMW 3 Series; BMW 5 Series; BMW 7 Series; BMW X1; BMW iX1; BMW X3; BMW X5; BMW X7</x:t>
        </x:is>
      </x:c>
      <x:c r="E3" s="663" t="inlineStr">
        <x:is>
          <x:t xml:space="preserve">ICE, BEV</x:t>
        </x:is>
      </x:c>
      <x:c r="F3" s="664" t="n">
        <x:v>9</x:v>
      </x:c>
      <x:c r="G3" s="663" t="inlineStr">
        <x:is>
          <x:t xml:space="preserve">No specific Neue Klasse vehicle start identified in selected sources by 10 Aug 2026</x:t>
        </x:is>
      </x:c>
      <x:c r="H3" s="663" t="inlineStr">
        <x:is>
          <x:t xml:space="preserve">No selected Gen6 vehicle-battery node identified</x:t>
        </x:is>
      </x:c>
      <x:c r="I3" s="663" t="inlineStr">
        <x:is>
          <x:t xml:space="preserve">S1</x:t>
        </x:is>
      </x:c>
      <x:c r="J3" s="663" t="inlineStr">
        <x:is>
          <x:t xml:space="preserve">Comparable</x:t>
        </x:is>
      </x:c>
      <x:c r="K3" s="664" t="n">
        <x:v>2</x:v>
      </x:c>
      <x:c r="L3" s="663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62" customHeight="1">
      <x:c r="A4" s="947" t="inlineStr">
        <x:is>
          <x:t xml:space="preserve">Debrecen</x:t>
        </x:is>
      </x:c>
      <x:c r="B4" s="947" t="inlineStr">
        <x:is>
          <x:t xml:space="preserve">Hungary</x:t>
        </x:is>
      </x:c>
      <x:c r="C4" s="947" t="inlineStr">
        <x:is>
          <x:t xml:space="preserve">BMW</x:t>
        </x:is>
      </x:c>
      <x:c r="D4" s="947" t="inlineStr">
        <x:is>
          <x:t xml:space="preserve">SOURCE DISCREPANCY: BMW 2025 Report lists BMW iX1; plant release says BMW iX3 entered series production in late Oct 2025</x:t>
        </x:is>
      </x:c>
      <x:c r="E4" s="947" t="inlineStr">
        <x:is>
          <x:t xml:space="preserve">BEV</x:t>
        </x:is>
      </x:c>
      <x:c r="F4" s="948" t="n"/>
      <x:c r="G4" s="947" t="inlineStr">
        <x:is>
          <x:t xml:space="preserve">First Neue Klasse series-production site; BMW iX3 series production began in late October 2025; dedicated BEV plant</x:t>
        </x:is>
      </x:c>
      <x:c r="H4" s="947" t="inlineStr">
        <x:is>
          <x:t xml:space="preserve">Gen6 battery assembly on site</x:t>
        </x:is>
      </x:c>
      <x:c r="I4" s="947" t="inlineStr">
        <x:is>
          <x:t xml:space="preserve">S1; S4; S14</x:t>
        </x:is>
      </x:c>
      <x:c r="J4" s="708" t="inlineStr">
        <x:is>
          <x:t xml:space="preserve">Excluded</x:t>
        </x:is>
      </x:c>
      <x:c r="K4" s="946" t="n">
        <x:v>1</x:v>
      </x:c>
      <x:c r="L4" s="708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62" customHeight="1">
      <x:c r="A5" s="663" t="inlineStr">
        <x:is>
          <x:t xml:space="preserve">Dingolfing</x:t>
        </x:is>
      </x:c>
      <x:c r="B5" s="663" t="inlineStr">
        <x:is>
          <x:t xml:space="preserve">Germany</x:t>
        </x:is>
      </x:c>
      <x:c r="C5" s="663" t="inlineStr">
        <x:is>
          <x:t xml:space="preserve">BMW</x:t>
        </x:is>
      </x:c>
      <x:c r="D5" s="663" t="inlineStr">
        <x:is>
          <x:t xml:space="preserve">BMW 4 Series; BMW 5 Series; BMW i5; BMW 7 Series; BMW i7; BMW 8 Series; BMW iX</x:t>
        </x:is>
      </x:c>
      <x:c r="E5" s="663" t="inlineStr">
        <x:is>
          <x:t xml:space="preserve">ICE, BEV, PHEV</x:t>
        </x:is>
      </x:c>
      <x:c r="F5" s="664" t="n">
        <x:v>7</x:v>
      </x:c>
      <x:c r="G5" s="663" t="inlineStr">
        <x:is>
          <x:t xml:space="preserve">Neue Klasse technologies integrated into new 7 Series production from Jul 2026; plant remains multi-drivetrain</x:t>
        </x:is>
      </x:c>
      <x:c r="H5" s="663" t="inlineStr">
        <x:is>
          <x:t xml:space="preserve">Germany Gen6 battery supply planned under the local-for-local battery network</x:t>
        </x:is>
      </x:c>
      <x:c r="I5" s="663" t="inlineStr">
        <x:is>
          <x:t xml:space="preserve">S1; S7; S9</x:t>
        </x:is>
      </x:c>
      <x:c r="J5" s="663" t="inlineStr">
        <x:is>
          <x:t xml:space="preserve">Comparable</x:t>
        </x:is>
      </x:c>
      <x:c r="K5" s="664" t="n">
        <x:v>3</x:v>
      </x:c>
      <x:c r="L5" s="663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62" customHeight="1">
      <x:c r="A6" s="708" t="inlineStr">
        <x:is>
          <x:t xml:space="preserve">Goodwood</x:t>
        </x:is>
      </x:c>
      <x:c r="B6" s="708" t="inlineStr">
        <x:is>
          <x:t xml:space="preserve">UK</x:t>
        </x:is>
      </x:c>
      <x:c r="C6" s="708" t="inlineStr">
        <x:is>
          <x:t xml:space="preserve">Rolls-Royce</x:t>
        </x:is>
      </x:c>
      <x:c r="D6" s="708" t="inlineStr">
        <x:is>
          <x:t xml:space="preserve">Rolls-Royce Cullinan; Rolls-Royce Ghost; Rolls-Royce Phantom; Rolls-Royce Spectre</x:t>
        </x:is>
      </x:c>
      <x:c r="E6" s="708" t="inlineStr">
        <x:is>
          <x:t xml:space="preserve">ICE, BEV</x:t>
        </x:is>
      </x:c>
      <x:c r="F6" s="946" t="n">
        <x:v>4</x:v>
      </x:c>
      <x:c r="G6" s="708" t="inlineStr">
        <x:is>
          <x:t xml:space="preserve">Separate Rolls-Royce production model; excluded from BMW/MINI network concentration analysis</x:t>
        </x:is>
      </x:c>
      <x:c r="H6" s="708" t="inlineStr">
        <x:is>
          <x:t xml:space="preserve">Not included in selected Gen6 BMW/MINI battery screen</x:t>
        </x:is>
      </x:c>
      <x:c r="I6" s="708" t="inlineStr">
        <x:is>
          <x:t xml:space="preserve">S1</x:t>
        </x:is>
      </x:c>
      <x:c r="J6" s="708" t="inlineStr">
        <x:is>
          <x:t xml:space="preserve">Excluded</x:t>
        </x:is>
      </x:c>
      <x:c r="K6" s="946" t="n">
        <x:v>2</x:v>
      </x:c>
      <x:c r="L6" s="708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62" customHeight="1">
      <x:c r="A7" s="663" t="inlineStr">
        <x:is>
          <x:t xml:space="preserve">Leipzig</x:t>
        </x:is>
      </x:c>
      <x:c r="B7" s="663" t="inlineStr">
        <x:is>
          <x:t xml:space="preserve">Germany</x:t>
        </x:is>
      </x:c>
      <x:c r="C7" s="663" t="inlineStr">
        <x:is>
          <x:t xml:space="preserve">BMW/MINI</x:t>
        </x:is>
      </x:c>
      <x:c r="D7" s="663" t="inlineStr">
        <x:is>
          <x:t xml:space="preserve">BMW 1 Series; BMW 2 Series; MINI Countryman</x:t>
        </x:is>
      </x:c>
      <x:c r="E7" s="663" t="inlineStr">
        <x:is>
          <x:t xml:space="preserve">ICE, BEV, PHEV</x:t>
        </x:is>
      </x:c>
      <x:c r="F7" s="664" t="n">
        <x:v>3</x:v>
      </x:c>
      <x:c r="G7" s="663" t="inlineStr">
        <x:is>
          <x:t xml:space="preserve">Highly flexible site; BMW states it produces BMW and MINI models with combustion, hybrid and electric drives</x:t>
        </x:is>
      </x:c>
      <x:c r="H7" s="663" t="inlineStr">
        <x:is>
          <x:t xml:space="preserve">Germany Gen6 battery supply planned under the local-for-local battery network</x:t>
        </x:is>
      </x:c>
      <x:c r="I7" s="663" t="inlineStr">
        <x:is>
          <x:t xml:space="preserve">S1; S2; S9</x:t>
        </x:is>
      </x:c>
      <x:c r="J7" s="663" t="inlineStr">
        <x:is>
          <x:t xml:space="preserve">Comparable</x:t>
        </x:is>
      </x:c>
      <x:c r="K7" s="664" t="n">
        <x:v>3</x:v>
      </x:c>
      <x:c r="L7" s="663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62" customHeight="1">
      <x:c r="A8" s="708" t="inlineStr">
        <x:is>
          <x:t xml:space="preserve">Munich</x:t>
        </x:is>
      </x:c>
      <x:c r="B8" s="708" t="inlineStr">
        <x:is>
          <x:t xml:space="preserve">Germany</x:t>
        </x:is>
      </x:c>
      <x:c r="C8" s="708" t="inlineStr">
        <x:is>
          <x:t xml:space="preserve">BMW</x:t>
        </x:is>
      </x:c>
      <x:c r="D8" s="708" t="inlineStr">
        <x:is>
          <x:t xml:space="preserve">BMW 3 Series; BMW 4 Series; BMW i4; BMW M</x:t>
        </x:is>
      </x:c>
      <x:c r="E8" s="708" t="inlineStr">
        <x:is>
          <x:t xml:space="preserve">ICE, BEV, PHEV</x:t>
        </x:is>
      </x:c>
      <x:c r="F8" s="946" t="n">
        <x:v>3</x:v>
      </x:c>
      <x:c r="G8" s="708" t="inlineStr">
        <x:is>
          <x:t xml:space="preserve">BMW i3 series production began in Aug 2026; from 2027 the plant will exclusively produce fully electric vehicles</x:t>
        </x:is>
      </x:c>
      <x:c r="H8" s="708" t="inlineStr">
        <x:is>
          <x:t xml:space="preserve">German Gen6 battery network planned to support Munich</x:t>
        </x:is>
      </x:c>
      <x:c r="I8" s="708" t="inlineStr">
        <x:is>
          <x:t xml:space="preserve">S1; S5; S6; S9</x:t>
        </x:is>
      </x:c>
      <x:c r="J8" s="708" t="inlineStr">
        <x:is>
          <x:t xml:space="preserve">Comparable</x:t>
        </x:is>
      </x:c>
      <x:c r="K8" s="946" t="n">
        <x:v>3</x:v>
      </x:c>
      <x:c r="L8" s="708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62" customHeight="1">
      <x:c r="A9" s="663" t="inlineStr">
        <x:is>
          <x:t xml:space="preserve">Oxford</x:t>
        </x:is>
      </x:c>
      <x:c r="B9" s="663" t="inlineStr">
        <x:is>
          <x:t xml:space="preserve">UK</x:t>
        </x:is>
      </x:c>
      <x:c r="C9" s="663" t="inlineStr">
        <x:is>
          <x:t xml:space="preserve">MINI</x:t>
        </x:is>
      </x:c>
      <x:c r="D9" s="663" t="inlineStr">
        <x:is>
          <x:t xml:space="preserve">MINI Cooper; MINI Cooper Convertible</x:t>
        </x:is>
      </x:c>
      <x:c r="E9" s="663" t="inlineStr">
        <x:is>
          <x:t xml:space="preserve">ICE</x:t>
        </x:is>
      </x:c>
      <x:c r="F9" s="664" t="n">
        <x:v>2</x:v>
      </x:c>
      <x:c r="G9" s="663" t="inlineStr">
        <x:is>
          <x:t xml:space="preserve">No Neue Klasse vehicle start identified in selected sources by 10 Aug 2026</x:t>
        </x:is>
      </x:c>
      <x:c r="H9" s="663" t="inlineStr">
        <x:is>
          <x:t xml:space="preserve">No selected Gen6 battery node identified</x:t>
        </x:is>
      </x:c>
      <x:c r="I9" s="663" t="inlineStr">
        <x:is>
          <x:t xml:space="preserve">S1</x:t>
        </x:is>
      </x:c>
      <x:c r="J9" s="663" t="inlineStr">
        <x:is>
          <x:t xml:space="preserve">Comparable</x:t>
        </x:is>
      </x:c>
      <x:c r="K9" s="664" t="n">
        <x:v>1</x:v>
      </x:c>
      <x:c r="L9" s="663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62" customHeight="1">
      <x:c r="A10" s="708" t="inlineStr">
        <x:is>
          <x:t xml:space="preserve">Rayong</x:t>
        </x:is>
      </x:c>
      <x:c r="B10" s="708" t="inlineStr">
        <x:is>
          <x:t xml:space="preserve">Thailand</x:t>
        </x:is>
      </x:c>
      <x:c r="C10" s="708" t="inlineStr">
        <x:is>
          <x:t xml:space="preserve">BMW/MINI</x:t>
        </x:is>
      </x:c>
      <x:c r="D10" s="708" t="inlineStr">
        <x:is>
          <x:t xml:space="preserve">BMW 2 Series; BMW 3 Series; BMW 5 Series; BMW i5; BMW X1; BMW X3; BMW X5; BMW X6; BMW X7; MINI Countryman</x:t>
        </x:is>
      </x:c>
      <x:c r="E10" s="708" t="inlineStr">
        <x:is>
          <x:t xml:space="preserve">ICE, BEV, PHEV</x:t>
        </x:is>
      </x:c>
      <x:c r="F10" s="946" t="n">
        <x:v>10</x:v>
      </x:c>
      <x:c r="G10" s="708" t="inlineStr">
        <x:is>
          <x:t xml:space="preserve">Regional production hub; no specific Neue Klasse vehicle start identified in selected sources by 10 Aug 2026</x:t>
        </x:is>
      </x:c>
      <x:c r="H10" s="708" t="inlineStr">
        <x:is>
          <x:t xml:space="preserve">No selected Gen6 vehicle-battery node identified</x:t>
        </x:is>
      </x:c>
      <x:c r="I10" s="708" t="inlineStr">
        <x:is>
          <x:t xml:space="preserve">S1</x:t>
        </x:is>
      </x:c>
      <x:c r="J10" s="708" t="inlineStr">
        <x:is>
          <x:t xml:space="preserve">Comparable</x:t>
        </x:is>
      </x:c>
      <x:c r="K10" s="946" t="n">
        <x:v>3</x:v>
      </x:c>
      <x:c r="L10" s="708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62" customHeight="1">
      <x:c r="A11" s="663" t="inlineStr">
        <x:is>
          <x:t xml:space="preserve">Regensburg</x:t>
        </x:is>
      </x:c>
      <x:c r="B11" s="663" t="inlineStr">
        <x:is>
          <x:t xml:space="preserve">Germany</x:t>
        </x:is>
      </x:c>
      <x:c r="C11" s="663" t="inlineStr">
        <x:is>
          <x:t xml:space="preserve">BMW</x:t>
        </x:is>
      </x:c>
      <x:c r="D11" s="663" t="inlineStr">
        <x:is>
          <x:t xml:space="preserve">BMW X1; BMW iX1; BMW X2; BMW iX2</x:t>
        </x:is>
      </x:c>
      <x:c r="E11" s="663" t="inlineStr">
        <x:is>
          <x:t xml:space="preserve">ICE, BEV, PHEV</x:t>
        </x:is>
      </x:c>
      <x:c r="F11" s="664" t="n">
        <x:v>4</x:v>
      </x:c>
      <x:c r="G11" s="663" t="inlineStr">
        <x:is>
          <x:t xml:space="preserve">Flexible production across drivetrain variants; no specific Neue Klasse vehicle start identified by 10 Aug 2026</x:t>
        </x:is>
      </x:c>
      <x:c r="H11" s="663" t="inlineStr">
        <x:is>
          <x:t xml:space="preserve">Germany Gen6 battery supply planned under the local-for-local battery network</x:t>
        </x:is>
      </x:c>
      <x:c r="I11" s="663" t="inlineStr">
        <x:is>
          <x:t xml:space="preserve">S1; S8; S9</x:t>
        </x:is>
      </x:c>
      <x:c r="J11" s="663" t="inlineStr">
        <x:is>
          <x:t xml:space="preserve">Comparable</x:t>
        </x:is>
      </x:c>
      <x:c r="K11" s="664" t="n">
        <x:v>3</x:v>
      </x:c>
      <x:c r="L11" s="663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62" customHeight="1">
      <x:c r="A12" s="708" t="inlineStr">
        <x:is>
          <x:t xml:space="preserve">Rosslyn</x:t>
        </x:is>
      </x:c>
      <x:c r="B12" s="708" t="inlineStr">
        <x:is>
          <x:t xml:space="preserve">South Africa</x:t>
        </x:is>
      </x:c>
      <x:c r="C12" s="708" t="inlineStr">
        <x:is>
          <x:t xml:space="preserve">BMW</x:t>
        </x:is>
      </x:c>
      <x:c r="D12" s="708" t="inlineStr">
        <x:is>
          <x:t xml:space="preserve">BMW X3</x:t>
        </x:is>
      </x:c>
      <x:c r="E12" s="708" t="inlineStr">
        <x:is>
          <x:t xml:space="preserve">ICE, PHEV</x:t>
        </x:is>
      </x:c>
      <x:c r="F12" s="946" t="n">
        <x:v>1</x:v>
      </x:c>
      <x:c r="G12" s="708" t="inlineStr">
        <x:is>
          <x:t xml:space="preserve">No specific Neue Klasse vehicle start identified in selected sources by 10 Aug 2026</x:t>
        </x:is>
      </x:c>
      <x:c r="H12" s="708" t="inlineStr">
        <x:is>
          <x:t xml:space="preserve">No selected Gen6 vehicle-battery node identified</x:t>
        </x:is>
      </x:c>
      <x:c r="I12" s="708" t="inlineStr">
        <x:is>
          <x:t xml:space="preserve">S1</x:t>
        </x:is>
      </x:c>
      <x:c r="J12" s="708" t="inlineStr">
        <x:is>
          <x:t xml:space="preserve">Comparable</x:t>
        </x:is>
      </x:c>
      <x:c r="K12" s="946" t="n">
        <x:v>2</x:v>
      </x:c>
      <x:c r="L12" s="708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62" customHeight="1">
      <x:c r="A13" s="663" t="inlineStr">
        <x:is>
          <x:t xml:space="preserve">San Luis Potosí</x:t>
        </x:is>
      </x:c>
      <x:c r="B13" s="663" t="inlineStr">
        <x:is>
          <x:t xml:space="preserve">Mexico</x:t>
        </x:is>
      </x:c>
      <x:c r="C13" s="663" t="inlineStr">
        <x:is>
          <x:t xml:space="preserve">BMW</x:t>
        </x:is>
      </x:c>
      <x:c r="D13" s="663" t="inlineStr">
        <x:is>
          <x:t xml:space="preserve">BMW 2 Series; BMW 3 Series; BMW M</x:t>
        </x:is>
      </x:c>
      <x:c r="E13" s="663" t="inlineStr">
        <x:is>
          <x:t xml:space="preserve">ICE, PHEV</x:t>
        </x:is>
      </x:c>
      <x:c r="F13" s="664" t="n">
        <x:v>2</x:v>
      </x:c>
      <x:c r="G13" s="663" t="inlineStr">
        <x:is>
          <x:t xml:space="preserve">Neue Klasse vehicle production planned from 2027</x:t>
        </x:is>
      </x:c>
      <x:c r="H13" s="663" t="inlineStr">
        <x:is>
          <x:t xml:space="preserve">Local high-voltage battery assembly planned on site</x:t>
        </x:is>
      </x:c>
      <x:c r="I13" s="663" t="inlineStr">
        <x:is>
          <x:t xml:space="preserve">S1; S15; S9</x:t>
        </x:is>
      </x:c>
      <x:c r="J13" s="663" t="inlineStr">
        <x:is>
          <x:t xml:space="preserve">Comparable</x:t>
        </x:is>
      </x:c>
      <x:c r="K13" s="664" t="n">
        <x:v>2</x:v>
      </x:c>
      <x:c r="L13" s="663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62" customHeight="1">
      <x:c r="A14" s="708" t="inlineStr">
        <x:is>
          <x:t xml:space="preserve">Shenyang (Dadong)</x:t>
        </x:is>
      </x:c>
      <x:c r="B14" s="708" t="inlineStr">
        <x:is>
          <x:t xml:space="preserve">China</x:t>
        </x:is>
      </x:c>
      <x:c r="C14" s="708" t="inlineStr">
        <x:is>
          <x:t xml:space="preserve">BMW</x:t>
        </x:is>
      </x:c>
      <x:c r="D14" s="708" t="inlineStr">
        <x:is>
          <x:t xml:space="preserve">BMW 5 Series; BMW i5; BMW iX3; BMW X5</x:t>
        </x:is>
      </x:c>
      <x:c r="E14" s="708" t="inlineStr">
        <x:is>
          <x:t xml:space="preserve">ICE, BEV</x:t>
        </x:is>
      </x:c>
      <x:c r="F14" s="946" t="n">
        <x:v>4</x:v>
      </x:c>
      <x:c r="G14" s="708" t="inlineStr">
        <x:is>
          <x:t xml:space="preserve">China Neue Klasse rollout; public sources do not always distinguish Dadong/Tiexi allocation</x:t>
        </x:is>
      </x:c>
      <x:c r="H14" s="708" t="inlineStr">
        <x:is>
          <x:t xml:space="preserve">Local Gen6 battery manufacturing in Shenyang</x:t>
        </x:is>
      </x:c>
      <x:c r="I14" s="708" t="inlineStr">
        <x:is>
          <x:t xml:space="preserve">S1; S14; S9</x:t>
        </x:is>
      </x:c>
      <x:c r="J14" s="708" t="inlineStr">
        <x:is>
          <x:t xml:space="preserve">Comparable</x:t>
        </x:is>
      </x:c>
      <x:c r="K14" s="946" t="n">
        <x:v>2</x:v>
      </x:c>
      <x:c r="L14" s="708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62" customHeight="1">
      <x:c r="A15" s="663" t="inlineStr">
        <x:is>
          <x:t xml:space="preserve">Shenyang (Tiexi)</x:t>
        </x:is>
      </x:c>
      <x:c r="B15" s="663" t="inlineStr">
        <x:is>
          <x:t xml:space="preserve">China</x:t>
        </x:is>
      </x:c>
      <x:c r="C15" s="663" t="inlineStr">
        <x:is>
          <x:t xml:space="preserve">BMW</x:t>
        </x:is>
      </x:c>
      <x:c r="D15" s="663" t="inlineStr">
        <x:is>
          <x:t xml:space="preserve">BMW 2 Series; BMW 3 Series; BMW i3; BMW X1; BMW iX1; BMW X3</x:t>
        </x:is>
      </x:c>
      <x:c r="E15" s="663" t="inlineStr">
        <x:is>
          <x:t xml:space="preserve">ICE, BEV</x:t>
        </x:is>
      </x:c>
      <x:c r="F15" s="664" t="n">
        <x:v>6</x:v>
      </x:c>
      <x:c r="G15" s="663" t="inlineStr">
        <x:is>
          <x:t xml:space="preserve">Shenyang complex prepared for Neue Klasse in China from 2026; public sources do not always distinguish plant allocation</x:t>
        </x:is>
      </x:c>
      <x:c r="H15" s="663" t="inlineStr">
        <x:is>
          <x:t xml:space="preserve">Local Gen6 battery manufacturing in Shenyang; plant allocation not fully resolved</x:t>
        </x:is>
      </x:c>
      <x:c r="I15" s="663" t="inlineStr">
        <x:is>
          <x:t xml:space="preserve">S1; S14; S9</x:t>
        </x:is>
      </x:c>
      <x:c r="J15" s="663" t="inlineStr">
        <x:is>
          <x:t xml:space="preserve">Comparable</x:t>
        </x:is>
      </x:c>
      <x:c r="K15" s="664" t="n">
        <x:v>2</x:v>
      </x:c>
      <x:c r="L15" s="663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 s="62" customFormat="1" ht="62" customHeight="1">
      <x:c r="A16" s="708" t="inlineStr">
        <x:is>
          <x:t xml:space="preserve">Spartanburg</x:t>
        </x:is>
      </x:c>
      <x:c r="B16" s="708" t="inlineStr">
        <x:is>
          <x:t xml:space="preserve">USA</x:t>
        </x:is>
      </x:c>
      <x:c r="C16" s="708" t="inlineStr">
        <x:is>
          <x:t xml:space="preserve">BMW</x:t>
        </x:is>
      </x:c>
      <x:c r="D16" s="708" t="inlineStr">
        <x:is>
          <x:t xml:space="preserve">BMW X3; BMW X4; BMW X5; BMW X6; BMW X7; BMW XM; BMW M</x:t>
        </x:is>
      </x:c>
      <x:c r="E16" s="708" t="inlineStr">
        <x:is>
          <x:t xml:space="preserve">ICE, PHEV</x:t>
        </x:is>
      </x:c>
      <x:c r="F16" s="946" t="n">
        <x:v>6</x:v>
      </x:c>
      <x:c r="G16" s="708" t="inlineStr">
        <x:is>
          <x:t xml:space="preserve">BMW iX5 U.S. assembly planned before end-2026; existing X-model hub remains multi-technology</x:t>
        </x:is>
      </x:c>
      <x:c r="H16" s="708" t="inlineStr">
        <x:is>
          <x:t xml:space="preserve">Woodruff battery plant near Spartanburg supports future BEVs</x:t>
        </x:is>
      </x:c>
      <x:c r="I16" s="708" t="inlineStr">
        <x:is>
          <x:t xml:space="preserve">S1; S12; S13</x:t>
        </x:is>
      </x:c>
      <x:c r="J16" s="708" t="inlineStr">
        <x:is>
          <x:t xml:space="preserve">Comparable</x:t>
        </x:is>
      </x:c>
      <x:c r="K16" s="946" t="n">
        <x:v>2</x:v>
      </x:c>
      <x:c r="L16" s="708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 s="62" customFormat="1" ht="62" customHeight="1">
      <x:c r="A17" s="663" t="inlineStr">
        <x:is>
          <x:t xml:space="preserve">Zhangjiagang (Spotlight)</x:t>
        </x:is>
      </x:c>
      <x:c r="B17" s="663" t="inlineStr">
        <x:is>
          <x:t xml:space="preserve">China</x:t>
        </x:is>
      </x:c>
      <x:c r="C17" s="663" t="inlineStr">
        <x:is>
          <x:t xml:space="preserve">MINI</x:t>
        </x:is>
      </x:c>
      <x:c r="D17" s="663" t="inlineStr">
        <x:is>
          <x:t xml:space="preserve">MINI Cooper; MINI Aceman</x:t>
        </x:is>
      </x:c>
      <x:c r="E17" s="663" t="inlineStr">
        <x:is>
          <x:t xml:space="preserve">BEV</x:t>
        </x:is>
      </x:c>
      <x:c r="F17" s="664" t="n">
        <x:v>2</x:v>
      </x:c>
      <x:c r="G17" s="663" t="inlineStr">
        <x:is>
          <x:t xml:space="preserve">Jointly controlled site; BEV production; excluded from BMW Group-owned plant count but included in BMW/MINI model network</x:t>
        </x:is>
      </x:c>
      <x:c r="H17" s="663" t="inlineStr">
        <x:is>
          <x:t xml:space="preserve">Not part of five BMW Gen6 battery sites in selected sources</x:t>
        </x:is>
      </x:c>
      <x:c r="I17" s="663" t="inlineStr">
        <x:is>
          <x:t xml:space="preserve">S1</x:t>
        </x:is>
      </x:c>
      <x:c r="J17" s="663" t="inlineStr">
        <x:is>
          <x:t xml:space="preserve">Comparable</x:t>
        </x:is>
      </x:c>
      <x:c r="K17" s="664" t="n">
        <x:v>1</x:v>
      </x:c>
      <x:c r="L17" s="663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289" t="n"/>
      <x:c r="B18" s="289" t="n"/>
      <x:c r="C18" s="289" t="n"/>
      <x:c r="D18" s="289" t="n"/>
      <x:c r="E18" s="289" t="n"/>
      <x:c r="F18" s="532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113" t="n"/>
      <x:c r="B19" s="113" t="n"/>
      <x:c r="C19" s="113" t="n"/>
      <x:c r="D19" s="113" t="n"/>
      <x:c r="E19" s="113" t="n"/>
      <x:c r="F19" s="533" t="n"/>
      <x:c r="G19" s="113" t="n"/>
      <x:c r="H19" s="113" t="n"/>
      <x:c r="I19" s="113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113" t="n"/>
      <x:c r="B20" s="113" t="n"/>
      <x:c r="C20" s="113" t="n"/>
      <x:c r="D20" s="113" t="n"/>
      <x:c r="E20" s="113" t="n"/>
      <x:c r="F20" s="533" t="n"/>
      <x:c r="G20" s="113" t="n"/>
      <x:c r="H20" s="113" t="n"/>
      <x:c r="I20" s="113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113" t="n"/>
      <x:c r="F21" s="533" t="n"/>
      <x:c r="G21" s="113" t="n"/>
      <x:c r="H21" s="113" t="n"/>
      <x:c r="I21" s="113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113" t="n"/>
      <x:c r="F22" s="533" t="n"/>
      <x:c r="G22" s="113" t="n"/>
      <x:c r="H22" s="113" t="n"/>
      <x:c r="I22" s="113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113" t="n"/>
      <x:c r="F23" s="533" t="n"/>
      <x:c r="G23" s="113" t="n"/>
      <x:c r="H23" s="113" t="n"/>
      <x:c r="I23" s="113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113" t="n"/>
      <x:c r="F24" s="533" t="n"/>
      <x:c r="G24" s="113" t="n"/>
      <x:c r="H24" s="113" t="n"/>
      <x:c r="I24" s="113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113" t="n"/>
      <x:c r="F25" s="533" t="n"/>
      <x:c r="G25" s="113" t="n"/>
      <x:c r="H25" s="113" t="n"/>
      <x:c r="I25" s="113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113" t="n"/>
      <x:c r="F26" s="113" t="n"/>
      <x:c r="G26" s="113" t="n"/>
      <x:c r="H26" s="113" t="n"/>
      <x:c r="I26" s="113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113" t="n"/>
      <x:c r="F27" s="113" t="n"/>
      <x:c r="G27" s="113" t="n"/>
      <x:c r="H27" s="113" t="n"/>
      <x:c r="I27" s="113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113" t="n"/>
      <x:c r="F28" s="113" t="n"/>
      <x:c r="G28" s="113" t="n"/>
      <x:c r="H28" s="113" t="n"/>
      <x:c r="I28" s="113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113" t="n"/>
      <x:c r="F29" s="113" t="n"/>
      <x:c r="G29" s="113" t="n"/>
      <x:c r="H29" s="113" t="n"/>
      <x:c r="I29" s="113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113" t="n"/>
      <x:c r="F30" s="113" t="n"/>
      <x:c r="G30" s="113" t="n"/>
      <x:c r="H30" s="113" t="n"/>
      <x:c r="I30" s="113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113" t="n"/>
      <x:c r="G31" s="113" t="n"/>
      <x:c r="H31" s="113" t="n"/>
      <x:c r="I31" s="113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113" t="n"/>
      <x:c r="G32" s="113" t="n"/>
      <x:c r="H32" s="113" t="n"/>
      <x:c r="I32" s="113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113" t="n"/>
      <x:c r="G33" s="113" t="n"/>
      <x:c r="H33" s="113" t="n"/>
      <x:c r="I33" s="113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113" t="n"/>
      <x:c r="G34" s="113" t="n"/>
      <x:c r="H34" s="113" t="n"/>
      <x:c r="I34" s="113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113" t="n"/>
      <x:c r="G35" s="113" t="n"/>
      <x:c r="H35" s="113" t="n"/>
      <x:c r="I35" s="113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113" t="n"/>
      <x:c r="G36" s="113" t="n"/>
      <x:c r="H36" s="113" t="n"/>
      <x:c r="I36" s="113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113" t="n"/>
      <x:c r="G37" s="113" t="n"/>
      <x:c r="H37" s="113" t="n"/>
      <x:c r="I37" s="113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113" t="n"/>
      <x:c r="G38" s="113" t="n"/>
      <x:c r="H38" s="113" t="n"/>
      <x:c r="I38" s="113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113" t="n"/>
      <x:c r="G39" s="113" t="n"/>
      <x:c r="H39" s="113" t="n"/>
      <x:c r="I39" s="113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113" t="n"/>
      <x:c r="G40" s="113" t="n"/>
      <x:c r="H40" s="113" t="n"/>
      <x:c r="I40" s="113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113" t="n"/>
      <x:c r="G41" s="113" t="n"/>
      <x:c r="H41" s="113" t="n"/>
      <x:c r="I41" s="113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113" t="n"/>
      <x:c r="G42" s="113" t="n"/>
      <x:c r="H42" s="113" t="n"/>
      <x:c r="I42" s="113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113" t="n"/>
      <x:c r="G43" s="113" t="n"/>
      <x:c r="H43" s="113" t="n"/>
      <x:c r="I43" s="113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113" t="n"/>
      <x:c r="G44" s="113" t="n"/>
      <x:c r="H44" s="113" t="n"/>
      <x:c r="I44" s="113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113" t="n"/>
      <x:c r="G45" s="113" t="n"/>
      <x:c r="H45" s="113" t="n"/>
      <x:c r="I45" s="113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113" t="n"/>
      <x:c r="G46" s="113" t="n"/>
      <x:c r="H46" s="113" t="n"/>
      <x:c r="I46" s="113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113" t="n"/>
      <x:c r="G47" s="113" t="n"/>
      <x:c r="H47" s="113" t="n"/>
      <x:c r="I47" s="113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113" t="n"/>
      <x:c r="G48" s="113" t="n"/>
      <x:c r="H48" s="113" t="n"/>
      <x:c r="I48" s="113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113" t="n"/>
      <x:c r="G49" s="113" t="n"/>
      <x:c r="H49" s="113" t="n"/>
      <x:c r="I49" s="113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113" t="n"/>
      <x:c r="G50" s="113" t="n"/>
      <x:c r="H50" s="113" t="n"/>
      <x:c r="I50" s="113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113" t="n"/>
      <x:c r="G51" s="113" t="n"/>
      <x:c r="H51" s="113" t="n"/>
      <x:c r="I51" s="113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113" t="n"/>
      <x:c r="G52" s="113" t="n"/>
      <x:c r="H52" s="113" t="n"/>
      <x:c r="I52" s="113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113" t="n"/>
      <x:c r="G53" s="113" t="n"/>
      <x:c r="H53" s="113" t="n"/>
      <x:c r="I53" s="113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113" t="n"/>
      <x:c r="G54" s="113" t="n"/>
      <x:c r="H54" s="113" t="n"/>
      <x:c r="I54" s="113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113" t="n"/>
      <x:c r="G55" s="113" t="n"/>
      <x:c r="H55" s="113" t="n"/>
      <x:c r="I55" s="113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113" t="n"/>
      <x:c r="G56" s="113" t="n"/>
      <x:c r="H56" s="113" t="n"/>
      <x:c r="I56" s="113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113" t="n"/>
      <x:c r="G57" s="113" t="n"/>
      <x:c r="H57" s="113" t="n"/>
      <x:c r="I57" s="113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113" t="n"/>
      <x:c r="G58" s="113" t="n"/>
      <x:c r="H58" s="113" t="n"/>
      <x:c r="I58" s="113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113" t="n"/>
      <x:c r="G59" s="113" t="n"/>
      <x:c r="H59" s="113" t="n"/>
      <x:c r="I59" s="113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113" t="n"/>
      <x:c r="G60" s="113" t="n"/>
      <x:c r="H60" s="113" t="n"/>
      <x:c r="I60" s="113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113" t="n"/>
      <x:c r="G61" s="113" t="n"/>
      <x:c r="H61" s="113" t="n"/>
      <x:c r="I61" s="113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113" t="n"/>
      <x:c r="G62" s="113" t="n"/>
      <x:c r="H62" s="113" t="n"/>
      <x:c r="I62" s="113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113" t="n"/>
      <x:c r="G63" s="113" t="n"/>
      <x:c r="H63" s="113" t="n"/>
      <x:c r="I63" s="113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113" t="n"/>
      <x:c r="G64" s="113" t="n"/>
      <x:c r="H64" s="113" t="n"/>
      <x:c r="I64" s="113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113" t="n"/>
      <x:c r="G65" s="113" t="n"/>
      <x:c r="H65" s="113" t="n"/>
      <x:c r="I65" s="113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113" t="n"/>
      <x:c r="G66" s="113" t="n"/>
      <x:c r="H66" s="113" t="n"/>
      <x:c r="I66" s="113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113" t="n"/>
      <x:c r="G67" s="113" t="n"/>
      <x:c r="H67" s="113" t="n"/>
      <x:c r="I67" s="113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113" t="n"/>
      <x:c r="G68" s="113" t="n"/>
      <x:c r="H68" s="113" t="n"/>
      <x:c r="I68" s="113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113" t="n"/>
      <x:c r="G69" s="113" t="n"/>
      <x:c r="H69" s="113" t="n"/>
      <x:c r="I69" s="113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113" t="n"/>
      <x:c r="G70" s="113" t="n"/>
      <x:c r="H70" s="113" t="n"/>
      <x:c r="I70" s="113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113" t="n"/>
      <x:c r="G71" s="113" t="n"/>
      <x:c r="H71" s="113" t="n"/>
      <x:c r="I71" s="113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113" t="n"/>
      <x:c r="G72" s="113" t="n"/>
      <x:c r="H72" s="113" t="n"/>
      <x:c r="I72" s="113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113" t="n"/>
      <x:c r="G73" s="113" t="n"/>
      <x:c r="H73" s="113" t="n"/>
      <x:c r="I73" s="113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113" t="n"/>
      <x:c r="G74" s="113" t="n"/>
      <x:c r="H74" s="113" t="n"/>
      <x:c r="I74" s="113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113" t="n"/>
      <x:c r="G75" s="113" t="n"/>
      <x:c r="H75" s="113" t="n"/>
      <x:c r="I75" s="113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113" t="n"/>
      <x:c r="G76" s="113" t="n"/>
      <x:c r="H76" s="113" t="n"/>
      <x:c r="I76" s="113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113" t="n"/>
      <x:c r="G77" s="113" t="n"/>
      <x:c r="H77" s="113" t="n"/>
      <x:c r="I77" s="113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113" t="n"/>
      <x:c r="G78" s="113" t="n"/>
      <x:c r="H78" s="113" t="n"/>
      <x:c r="I78" s="113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113" t="n"/>
      <x:c r="G79" s="113" t="n"/>
      <x:c r="H79" s="113" t="n"/>
      <x:c r="I79" s="113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113" t="n"/>
      <x:c r="G80" s="113" t="n"/>
      <x:c r="H80" s="113" t="n"/>
      <x:c r="I80" s="113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113" t="n"/>
      <x:c r="G81" s="113" t="n"/>
      <x:c r="H81" s="113" t="n"/>
      <x:c r="I81" s="113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113" t="n"/>
      <x:c r="G82" s="113" t="n"/>
      <x:c r="H82" s="113" t="n"/>
      <x:c r="I82" s="113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113" t="n"/>
      <x:c r="G83" s="113" t="n"/>
      <x:c r="H83" s="113" t="n"/>
      <x:c r="I83" s="113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113" t="n"/>
      <x:c r="G84" s="113" t="n"/>
      <x:c r="H84" s="113" t="n"/>
      <x:c r="I84" s="113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113" t="n"/>
      <x:c r="G85" s="113" t="n"/>
      <x:c r="H85" s="113" t="n"/>
      <x:c r="I85" s="113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113" t="n"/>
      <x:c r="G86" s="113" t="n"/>
      <x:c r="H86" s="113" t="n"/>
      <x:c r="I86" s="113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113" t="n"/>
      <x:c r="G87" s="113" t="n"/>
      <x:c r="H87" s="113" t="n"/>
      <x:c r="I87" s="113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113" t="n"/>
      <x:c r="G88" s="113" t="n"/>
      <x:c r="H88" s="113" t="n"/>
      <x:c r="I88" s="113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113" t="n"/>
      <x:c r="G89" s="113" t="n"/>
      <x:c r="H89" s="113" t="n"/>
      <x:c r="I89" s="113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113" t="n"/>
      <x:c r="G90" s="113" t="n"/>
      <x:c r="H90" s="113" t="n"/>
      <x:c r="I90" s="113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113" t="n"/>
      <x:c r="G91" s="113" t="n"/>
      <x:c r="H91" s="113" t="n"/>
      <x:c r="I91" s="113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113" t="n"/>
      <x:c r="G92" s="113" t="n"/>
      <x:c r="H92" s="113" t="n"/>
      <x:c r="I92" s="113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113" t="n"/>
      <x:c r="G93" s="113" t="n"/>
      <x:c r="H93" s="113" t="n"/>
      <x:c r="I93" s="113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113" t="n"/>
      <x:c r="G94" s="113" t="n"/>
      <x:c r="H94" s="113" t="n"/>
      <x:c r="I94" s="113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113" t="n"/>
      <x:c r="G95" s="113" t="n"/>
      <x:c r="H95" s="113" t="n"/>
      <x:c r="I95" s="113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113" t="n"/>
      <x:c r="G96" s="113" t="n"/>
      <x:c r="H96" s="113" t="n"/>
      <x:c r="I96" s="113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113" t="n"/>
      <x:c r="G97" s="113" t="n"/>
      <x:c r="H97" s="113" t="n"/>
      <x:c r="I97" s="113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113" t="n"/>
      <x:c r="G98" s="113" t="n"/>
      <x:c r="H98" s="113" t="n"/>
      <x:c r="I98" s="113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113" t="n"/>
      <x:c r="G99" s="113" t="n"/>
      <x:c r="H99" s="113" t="n"/>
      <x:c r="I99" s="113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113" t="n"/>
      <x:c r="H100" s="113" t="n"/>
      <x:c r="I100" s="113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113" t="n"/>
      <x:c r="H101" s="113" t="n"/>
      <x:c r="I101" s="113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113" t="n"/>
      <x:c r="H102" s="113" t="n"/>
      <x:c r="I102" s="113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113" t="n"/>
      <x:c r="H103" s="113" t="n"/>
      <x:c r="I103" s="113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113" t="n"/>
      <x:c r="H104" s="113" t="n"/>
      <x:c r="I104" s="113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113" t="n"/>
      <x:c r="H105" s="113" t="n"/>
      <x:c r="I105" s="113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113" t="n"/>
      <x:c r="H106" s="113" t="n"/>
      <x:c r="I106" s="113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113" t="n"/>
      <x:c r="H107" s="113" t="n"/>
      <x:c r="I107" s="113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113" t="n"/>
      <x:c r="H108" s="113" t="n"/>
      <x:c r="I108" s="113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113" t="n"/>
      <x:c r="H109" s="113" t="n"/>
      <x:c r="I109" s="113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113" t="n"/>
      <x:c r="H110" s="113" t="n"/>
      <x:c r="I110" s="113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113" t="n"/>
      <x:c r="H111" s="113" t="n"/>
      <x:c r="I111" s="113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113" t="n"/>
      <x:c r="H112" s="113" t="n"/>
      <x:c r="I112" s="113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113" t="n"/>
      <x:c r="H113" s="113" t="n"/>
      <x:c r="I113" s="113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113" t="n"/>
      <x:c r="H114" s="113" t="n"/>
      <x:c r="I114" s="113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113" t="n"/>
      <x:c r="H115" s="113" t="n"/>
      <x:c r="I115" s="113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113" t="n"/>
      <x:c r="H116" s="113" t="n"/>
      <x:c r="I116" s="113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113" t="n"/>
      <x:c r="H117" s="113" t="n"/>
      <x:c r="I117" s="113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113" t="n"/>
      <x:c r="H118" s="113" t="n"/>
      <x:c r="I118" s="113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113" t="n"/>
      <x:c r="H119" s="113" t="n"/>
      <x:c r="I119" s="113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113" t="n"/>
      <x:c r="H120" s="113" t="n"/>
      <x:c r="I120" s="113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113" t="n"/>
      <x:c r="H121" s="113" t="n"/>
      <x:c r="I121" s="113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113" t="n"/>
      <x:c r="H122" s="113" t="n"/>
      <x:c r="I122" s="113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113" t="n"/>
      <x:c r="H123" s="113" t="n"/>
      <x:c r="I123" s="113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113" t="n"/>
      <x:c r="H124" s="113" t="n"/>
      <x:c r="I124" s="113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113" t="n"/>
      <x:c r="H125" s="113" t="n"/>
      <x:c r="I125" s="113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113" t="n"/>
      <x:c r="H126" s="113" t="n"/>
      <x:c r="I126" s="113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113" t="n"/>
      <x:c r="H127" s="113" t="n"/>
      <x:c r="I127" s="113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113" t="n"/>
      <x:c r="H128" s="113" t="n"/>
      <x:c r="I128" s="113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113" t="n"/>
      <x:c r="H129" s="113" t="n"/>
      <x:c r="I129" s="113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113" t="n"/>
      <x:c r="H130" s="113" t="n"/>
      <x:c r="I130" s="113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113" t="n"/>
      <x:c r="H131" s="113" t="n"/>
      <x:c r="I131" s="113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113" t="n"/>
      <x:c r="H132" s="113" t="n"/>
      <x:c r="I132" s="113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113" t="n"/>
      <x:c r="H133" s="113" t="n"/>
      <x:c r="I133" s="113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113" t="n"/>
      <x:c r="H134" s="113" t="n"/>
      <x:c r="I134" s="113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113" t="n"/>
      <x:c r="H135" s="113" t="n"/>
      <x:c r="I135" s="113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113" t="n"/>
      <x:c r="H136" s="113" t="n"/>
      <x:c r="I136" s="113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113" t="n"/>
      <x:c r="H137" s="113" t="n"/>
      <x:c r="I137" s="113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113" t="n"/>
      <x:c r="H138" s="113" t="n"/>
      <x:c r="I138" s="113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113" t="n"/>
      <x:c r="H139" s="113" t="n"/>
      <x:c r="I139" s="113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113" t="n"/>
      <x:c r="H140" s="113" t="n"/>
      <x:c r="I140" s="113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113" t="n"/>
      <x:c r="H141" s="113" t="n"/>
      <x:c r="I141" s="113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113" t="n"/>
      <x:c r="H142" s="113" t="n"/>
      <x:c r="I142" s="113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113" t="n"/>
      <x:c r="H143" s="113" t="n"/>
      <x:c r="I143" s="113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113" t="n"/>
      <x:c r="H144" s="113" t="n"/>
      <x:c r="I144" s="113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113" t="n"/>
      <x:c r="H145" s="113" t="n"/>
      <x:c r="I145" s="113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113" t="n"/>
      <x:c r="H146" s="113" t="n"/>
      <x:c r="I146" s="113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113" t="n"/>
      <x:c r="H147" s="113" t="n"/>
      <x:c r="I147" s="113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113" t="n"/>
      <x:c r="H148" s="113" t="n"/>
      <x:c r="I148" s="113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113" t="n"/>
      <x:c r="H149" s="113" t="n"/>
      <x:c r="I149" s="113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113" t="n"/>
      <x:c r="H150" s="113" t="n"/>
      <x:c r="I150" s="113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113" t="n"/>
      <x:c r="H151" s="113" t="n"/>
      <x:c r="I151" s="113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113" t="n"/>
      <x:c r="H152" s="113" t="n"/>
      <x:c r="I152" s="113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113" t="n"/>
      <x:c r="H153" s="113" t="n"/>
      <x:c r="I153" s="113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113" t="n"/>
      <x:c r="H154" s="113" t="n"/>
      <x:c r="I154" s="113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113" t="n"/>
      <x:c r="H155" s="113" t="n"/>
      <x:c r="I155" s="113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113" t="n"/>
      <x:c r="H156" s="113" t="n"/>
      <x:c r="I156" s="113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113" t="n"/>
      <x:c r="H157" s="113" t="n"/>
      <x:c r="I157" s="113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113" t="n"/>
      <x:c r="H158" s="113" t="n"/>
      <x:c r="I158" s="113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113" t="n"/>
      <x:c r="H159" s="113" t="n"/>
      <x:c r="I159" s="113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113" t="n"/>
      <x:c r="H160" s="113" t="n"/>
      <x:c r="I160" s="113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113" t="n"/>
      <x:c r="H161" s="113" t="n"/>
      <x:c r="I161" s="113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113" t="n"/>
      <x:c r="H162" s="113" t="n"/>
      <x:c r="I162" s="113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113" t="n"/>
      <x:c r="H163" s="113" t="n"/>
      <x:c r="I163" s="113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113" t="n"/>
      <x:c r="H164" s="113" t="n"/>
      <x:c r="I164" s="113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113" t="n"/>
      <x:c r="H165" s="113" t="n"/>
      <x:c r="I165" s="113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113" t="n"/>
      <x:c r="H166" s="113" t="n"/>
      <x:c r="I166" s="113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113" t="n"/>
      <x:c r="H167" s="113" t="n"/>
      <x:c r="I167" s="113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113" t="n"/>
      <x:c r="H168" s="113" t="n"/>
      <x:c r="I168" s="113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113" t="n"/>
      <x:c r="H169" s="113" t="n"/>
      <x:c r="I169" s="113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113" t="n"/>
      <x:c r="H170" s="113" t="n"/>
      <x:c r="I170" s="113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113" t="n"/>
      <x:c r="H171" s="113" t="n"/>
      <x:c r="I171" s="113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113" t="n"/>
      <x:c r="H172" s="113" t="n"/>
      <x:c r="I172" s="113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113" t="n"/>
      <x:c r="H173" s="113" t="n"/>
      <x:c r="I173" s="113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113" t="n"/>
      <x:c r="H174" s="113" t="n"/>
      <x:c r="I174" s="113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113" t="n"/>
      <x:c r="H175" s="113" t="n"/>
      <x:c r="I175" s="113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113" t="n"/>
      <x:c r="H176" s="113" t="n"/>
      <x:c r="I176" s="113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113" t="n"/>
      <x:c r="H177" s="113" t="n"/>
      <x:c r="I177" s="113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113" t="n"/>
      <x:c r="H178" s="113" t="n"/>
      <x:c r="I178" s="113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113" t="n"/>
      <x:c r="H179" s="113" t="n"/>
      <x:c r="I179" s="113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113" t="n"/>
      <x:c r="H180" s="113" t="n"/>
      <x:c r="I180" s="113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113" t="n"/>
      <x:c r="H181" s="113" t="n"/>
      <x:c r="I181" s="113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113" t="n"/>
      <x:c r="H182" s="113" t="n"/>
      <x:c r="I182" s="113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113" t="n"/>
      <x:c r="H183" s="113" t="n"/>
      <x:c r="I183" s="113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113" t="n"/>
      <x:c r="H184" s="113" t="n"/>
      <x:c r="I184" s="113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113" t="n"/>
      <x:c r="H185" s="113" t="n"/>
      <x:c r="I185" s="113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113" t="n"/>
      <x:c r="H186" s="113" t="n"/>
      <x:c r="I186" s="113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113" t="n"/>
      <x:c r="H187" s="113" t="n"/>
      <x:c r="I187" s="113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113" t="n"/>
      <x:c r="H188" s="113" t="n"/>
      <x:c r="I188" s="113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113" t="n"/>
      <x:c r="H189" s="113" t="n"/>
      <x:c r="I189" s="113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113" t="n"/>
      <x:c r="H190" s="113" t="n"/>
      <x:c r="I190" s="113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113" t="n"/>
      <x:c r="H191" s="113" t="n"/>
      <x:c r="I191" s="113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113" t="n"/>
      <x:c r="H192" s="113" t="n"/>
      <x:c r="I192" s="113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113" t="n"/>
      <x:c r="H193" s="113" t="n"/>
      <x:c r="I193" s="113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113" t="n"/>
      <x:c r="H194" s="113" t="n"/>
      <x:c r="I194" s="113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113" t="n"/>
      <x:c r="H195" s="113" t="n"/>
      <x:c r="I195" s="113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113" t="n"/>
      <x:c r="H196" s="113" t="n"/>
      <x:c r="I196" s="113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113" t="n"/>
      <x:c r="H197" s="113" t="n"/>
      <x:c r="I197" s="113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113" t="n"/>
      <x:c r="H198" s="113" t="n"/>
      <x:c r="I198" s="113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113" t="n"/>
      <x:c r="H199" s="113" t="n"/>
      <x:c r="I199" s="113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113" t="n"/>
      <x:c r="H200" s="113" t="n"/>
      <x:c r="I200" s="113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tableParts count="1">
    <x:tablePart xmlns:r="http://schemas.openxmlformats.org/officeDocument/2006/relationships" r:id="R4c1883cb83c146a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style="62" customWidth="1"/>
    <x:col min="2" max="2" width="14" style="62" customWidth="1"/>
    <x:col min="3" max="3" width="54" style="62" customWidth="1"/>
    <x:col min="4" max="4" width="18" style="62" customWidth="1"/>
    <x:col min="5" max="5" width="16" style="62" customWidth="1"/>
  </x:cols>
  <x:sheetData>
    <x:row r="1" s="62" customFormat="1" ht="28" customHeight="1">
      <x:c r="A1" s="411" t="inlineStr">
        <x:is>
          <x:t xml:space="preserve">Model line</x:t>
        </x:is>
      </x:c>
      <x:c r="B1" s="411" t="inlineStr">
        <x:is>
          <x:t xml:space="preserve">Site count</x:t>
        </x:is>
      </x:c>
      <x:c r="C1" s="411" t="inlineStr">
        <x:is>
          <x:t xml:space="preserve">Listed assembly sites</x:t>
        </x:is>
      </x:c>
      <x:c r="D1" s="411" t="inlineStr">
        <x:is>
          <x:t xml:space="preserve">Single-site flag</x:t>
        </x:is>
      </x:c>
      <x:c r="E1" s="194" t="n"/>
      <x:c r="F1" s="289" t="n"/>
      <x:c r="G1" s="289" t="n"/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22" customHeight="1">
      <x:c r="A2" s="419" t="inlineStr">
        <x:is>
          <x:t xml:space="preserve">BMW 1 Series</x:t>
        </x:is>
      </x:c>
      <x:c r="B2" s="534" t="n">
        <x:v>1</x:v>
      </x:c>
      <x:c r="C2" s="419" t="inlineStr">
        <x:is>
          <x:t xml:space="preserve">Leipzig</x:t>
        </x:is>
      </x:c>
      <x:c r="D2" s="419" t="inlineStr">
        <x:is>
          <x:t xml:space="preserve">Yes</x:t>
        </x:is>
      </x:c>
      <x:c r="E2" s="190" t="n"/>
      <x:c r="F2" s="289" t="n"/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22" customHeight="1">
      <x:c r="A3" s="420" t="inlineStr">
        <x:is>
          <x:t xml:space="preserve">BMW 2 Series</x:t>
        </x:is>
      </x:c>
      <x:c r="B3" s="535" t="n">
        <x:v>5</x:v>
      </x:c>
      <x:c r="C3" s="420" t="inlineStr">
        <x:is>
          <x:t xml:space="preserve">Chennai, Leipzig, Rayong, San Luis Potosí, Shenyang (Tiexi)</x:t>
        </x:is>
      </x:c>
      <x:c r="D3" s="420" t="inlineStr">
        <x:is>
          <x:t xml:space="preserve">No</x:t>
        </x:is>
      </x:c>
      <x:c r="E3" s="184" t="n"/>
      <x:c r="F3" s="289" t="n"/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22" customHeight="1">
      <x:c r="A4" s="419" t="inlineStr">
        <x:is>
          <x:t xml:space="preserve">BMW 3 Series</x:t>
        </x:is>
      </x:c>
      <x:c r="B4" s="534" t="n">
        <x:v>6</x:v>
      </x:c>
      <x:c r="C4" s="419" t="inlineStr">
        <x:is>
          <x:t xml:space="preserve">Araquari, Chennai, Munich, Rayong, San Luis Potosí, Shenyang (Tiexi)</x:t>
        </x:is>
      </x:c>
      <x:c r="D4" s="419" t="inlineStr">
        <x:is>
          <x:t xml:space="preserve">No</x:t>
        </x:is>
      </x:c>
      <x:c r="E4" s="190" t="n"/>
      <x:c r="F4" s="289" t="n"/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22" customHeight="1">
      <x:c r="A5" s="420" t="inlineStr">
        <x:is>
          <x:t xml:space="preserve">BMW 4 Series</x:t>
        </x:is>
      </x:c>
      <x:c r="B5" s="535" t="n">
        <x:v>2</x:v>
      </x:c>
      <x:c r="C5" s="420" t="inlineStr">
        <x:is>
          <x:t xml:space="preserve">Dingolfing, Munich</x:t>
        </x:is>
      </x:c>
      <x:c r="D5" s="420" t="inlineStr">
        <x:is>
          <x:t xml:space="preserve">No</x:t>
        </x:is>
      </x:c>
      <x:c r="E5" s="184" t="n"/>
      <x:c r="F5" s="289" t="n"/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22" customHeight="1">
      <x:c r="A6" s="419" t="inlineStr">
        <x:is>
          <x:t xml:space="preserve">BMW 5 Series</x:t>
        </x:is>
      </x:c>
      <x:c r="B6" s="534" t="n">
        <x:v>4</x:v>
      </x:c>
      <x:c r="C6" s="419" t="inlineStr">
        <x:is>
          <x:t xml:space="preserve">Chennai, Dingolfing, Rayong, Shenyang (Dadong)</x:t>
        </x:is>
      </x:c>
      <x:c r="D6" s="419" t="inlineStr">
        <x:is>
          <x:t xml:space="preserve">No</x:t>
        </x:is>
      </x:c>
      <x:c r="E6" s="190" t="n"/>
      <x:c r="F6" s="289" t="n"/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22" customHeight="1">
      <x:c r="A7" s="420" t="inlineStr">
        <x:is>
          <x:t xml:space="preserve">BMW 7 Series</x:t>
        </x:is>
      </x:c>
      <x:c r="B7" s="535" t="n">
        <x:v>2</x:v>
      </x:c>
      <x:c r="C7" s="420" t="inlineStr">
        <x:is>
          <x:t xml:space="preserve">Chennai, Dingolfing</x:t>
        </x:is>
      </x:c>
      <x:c r="D7" s="420" t="inlineStr">
        <x:is>
          <x:t xml:space="preserve">No</x:t>
        </x:is>
      </x:c>
      <x:c r="E7" s="184" t="n"/>
      <x:c r="F7" s="289" t="n"/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22" customHeight="1">
      <x:c r="A8" s="419" t="inlineStr">
        <x:is>
          <x:t xml:space="preserve">BMW 8 Series</x:t>
        </x:is>
      </x:c>
      <x:c r="B8" s="534" t="n">
        <x:v>1</x:v>
      </x:c>
      <x:c r="C8" s="419" t="inlineStr">
        <x:is>
          <x:t xml:space="preserve">Dingolfing</x:t>
        </x:is>
      </x:c>
      <x:c r="D8" s="419" t="inlineStr">
        <x:is>
          <x:t xml:space="preserve">Yes</x:t>
        </x:is>
      </x:c>
      <x:c r="E8" s="190" t="n"/>
      <x:c r="F8" s="289" t="n"/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22" customHeight="1">
      <x:c r="A9" s="420" t="inlineStr">
        <x:is>
          <x:t xml:space="preserve">BMW X1</x:t>
        </x:is>
      </x:c>
      <x:c r="B9" s="535" t="n">
        <x:v>5</x:v>
      </x:c>
      <x:c r="C9" s="420" t="inlineStr">
        <x:is>
          <x:t xml:space="preserve">Araquari, Chennai, Rayong, Regensburg, Shenyang (Tiexi)</x:t>
        </x:is>
      </x:c>
      <x:c r="D9" s="420" t="inlineStr">
        <x:is>
          <x:t xml:space="preserve">No</x:t>
        </x:is>
      </x:c>
      <x:c r="E9" s="184" t="n"/>
      <x:c r="F9" s="289" t="n"/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22" customHeight="1">
      <x:c r="A10" s="419" t="inlineStr">
        <x:is>
          <x:t xml:space="preserve">BMW X2</x:t>
        </x:is>
      </x:c>
      <x:c r="B10" s="534" t="n">
        <x:v>1</x:v>
      </x:c>
      <x:c r="C10" s="419" t="inlineStr">
        <x:is>
          <x:t xml:space="preserve">Regensburg</x:t>
        </x:is>
      </x:c>
      <x:c r="D10" s="419" t="inlineStr">
        <x:is>
          <x:t xml:space="preserve">Yes</x:t>
        </x:is>
      </x:c>
      <x:c r="E10" s="190" t="n"/>
      <x:c r="F10" s="289" t="n"/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22" customHeight="1">
      <x:c r="A11" s="420" t="inlineStr">
        <x:is>
          <x:t xml:space="preserve">BMW X3</x:t>
        </x:is>
      </x:c>
      <x:c r="B11" s="535" t="n">
        <x:v>5</x:v>
      </x:c>
      <x:c r="C11" s="420" t="inlineStr">
        <x:is>
          <x:t xml:space="preserve">Chennai, Rayong, Rosslyn, Shenyang (Tiexi), Spartanburg</x:t>
        </x:is>
      </x:c>
      <x:c r="D11" s="420" t="inlineStr">
        <x:is>
          <x:t xml:space="preserve">No</x:t>
        </x:is>
      </x:c>
      <x:c r="E11" s="184" t="n"/>
      <x:c r="F11" s="289" t="n"/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22" customHeight="1">
      <x:c r="A12" s="419" t="inlineStr">
        <x:is>
          <x:t xml:space="preserve">BMW X4</x:t>
        </x:is>
      </x:c>
      <x:c r="B12" s="534" t="n">
        <x:v>2</x:v>
      </x:c>
      <x:c r="C12" s="419" t="inlineStr">
        <x:is>
          <x:t xml:space="preserve">Araquari, Spartanburg</x:t>
        </x:is>
      </x:c>
      <x:c r="D12" s="419" t="inlineStr">
        <x:is>
          <x:t xml:space="preserve">No</x:t>
        </x:is>
      </x:c>
      <x:c r="E12" s="190" t="n"/>
      <x:c r="F12" s="289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22" customHeight="1">
      <x:c r="A13" s="420" t="inlineStr">
        <x:is>
          <x:t xml:space="preserve">BMW X5</x:t>
        </x:is>
      </x:c>
      <x:c r="B13" s="535" t="n">
        <x:v>5</x:v>
      </x:c>
      <x:c r="C13" s="420" t="inlineStr">
        <x:is>
          <x:t xml:space="preserve">Araquari, Chennai, Rayong, Shenyang (Dadong), Spartanburg</x:t>
        </x:is>
      </x:c>
      <x:c r="D13" s="420" t="inlineStr">
        <x:is>
          <x:t xml:space="preserve">No</x:t>
        </x:is>
      </x:c>
      <x:c r="E13" s="184" t="n"/>
      <x:c r="F13" s="289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22" customHeight="1">
      <x:c r="A14" s="419" t="inlineStr">
        <x:is>
          <x:t xml:space="preserve">BMW X6</x:t>
        </x:is>
      </x:c>
      <x:c r="B14" s="534" t="n">
        <x:v>2</x:v>
      </x:c>
      <x:c r="C14" s="419" t="inlineStr">
        <x:is>
          <x:t xml:space="preserve">Rayong, Spartanburg</x:t>
        </x:is>
      </x:c>
      <x:c r="D14" s="419" t="inlineStr">
        <x:is>
          <x:t xml:space="preserve">No</x:t>
        </x:is>
      </x:c>
      <x:c r="E14" s="190" t="n"/>
      <x:c r="F14" s="289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22" customHeight="1">
      <x:c r="A15" s="420" t="inlineStr">
        <x:is>
          <x:t xml:space="preserve">BMW X7</x:t>
        </x:is>
      </x:c>
      <x:c r="B15" s="535" t="n">
        <x:v>3</x:v>
      </x:c>
      <x:c r="C15" s="420" t="inlineStr">
        <x:is>
          <x:t xml:space="preserve">Chennai, Rayong, Spartanburg</x:t>
        </x:is>
      </x:c>
      <x:c r="D15" s="420" t="inlineStr">
        <x:is>
          <x:t xml:space="preserve">No</x:t>
        </x:is>
      </x:c>
      <x:c r="E15" s="184" t="n"/>
      <x:c r="F15" s="289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 s="62" customFormat="1" ht="22" customHeight="1">
      <x:c r="A16" s="419" t="inlineStr">
        <x:is>
          <x:t xml:space="preserve">BMW XM</x:t>
        </x:is>
      </x:c>
      <x:c r="B16" s="534" t="n">
        <x:v>1</x:v>
      </x:c>
      <x:c r="C16" s="419" t="inlineStr">
        <x:is>
          <x:t xml:space="preserve">Spartanburg</x:t>
        </x:is>
      </x:c>
      <x:c r="D16" s="419" t="inlineStr">
        <x:is>
          <x:t xml:space="preserve">Yes</x:t>
        </x:is>
      </x:c>
      <x:c r="E16" s="190" t="n"/>
      <x:c r="F16" s="289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 s="62" customFormat="1" ht="22" customHeight="1">
      <x:c r="A17" s="420" t="inlineStr">
        <x:is>
          <x:t xml:space="preserve">BMW i3</x:t>
        </x:is>
      </x:c>
      <x:c r="B17" s="535" t="n">
        <x:v>1</x:v>
      </x:c>
      <x:c r="C17" s="420" t="inlineStr">
        <x:is>
          <x:t xml:space="preserve">Shenyang (Tiexi)</x:t>
        </x:is>
      </x:c>
      <x:c r="D17" s="420" t="inlineStr">
        <x:is>
          <x:t xml:space="preserve">Yes</x:t>
        </x:is>
      </x:c>
      <x:c r="E17" s="184" t="n"/>
      <x:c r="F17" s="289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 s="62" customFormat="1" ht="22" customHeight="1">
      <x:c r="A18" s="419" t="inlineStr">
        <x:is>
          <x:t xml:space="preserve">BMW i4</x:t>
        </x:is>
      </x:c>
      <x:c r="B18" s="534" t="n">
        <x:v>1</x:v>
      </x:c>
      <x:c r="C18" s="419" t="inlineStr">
        <x:is>
          <x:t xml:space="preserve">Munich</x:t>
        </x:is>
      </x:c>
      <x:c r="D18" s="419" t="inlineStr">
        <x:is>
          <x:t xml:space="preserve">Yes</x:t>
        </x:is>
      </x:c>
      <x:c r="E18" s="190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 s="62" customFormat="1" ht="22" customHeight="1">
      <x:c r="A19" s="420" t="inlineStr">
        <x:is>
          <x:t xml:space="preserve">BMW i5</x:t>
        </x:is>
      </x:c>
      <x:c r="B19" s="535" t="n">
        <x:v>3</x:v>
      </x:c>
      <x:c r="C19" s="420" t="inlineStr">
        <x:is>
          <x:t xml:space="preserve">Dingolfing, Rayong, Shenyang (Dadong)</x:t>
        </x:is>
      </x:c>
      <x:c r="D19" s="420" t="inlineStr">
        <x:is>
          <x:t xml:space="preserve">No</x:t>
        </x:is>
      </x:c>
      <x:c r="E19" s="184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 s="62" customFormat="1" ht="22" customHeight="1">
      <x:c r="A20" s="419" t="inlineStr">
        <x:is>
          <x:t xml:space="preserve">BMW i7</x:t>
        </x:is>
      </x:c>
      <x:c r="B20" s="534" t="n">
        <x:v>1</x:v>
      </x:c>
      <x:c r="C20" s="419" t="inlineStr">
        <x:is>
          <x:t xml:space="preserve">Dingolfing</x:t>
        </x:is>
      </x:c>
      <x:c r="D20" s="419" t="inlineStr">
        <x:is>
          <x:t xml:space="preserve">Yes</x:t>
        </x:is>
      </x:c>
      <x:c r="E20" s="190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 s="62" customFormat="1" ht="22" customHeight="1">
      <x:c r="A21" s="420" t="inlineStr">
        <x:is>
          <x:t xml:space="preserve">BMW iX</x:t>
        </x:is>
      </x:c>
      <x:c r="B21" s="535" t="n">
        <x:v>1</x:v>
      </x:c>
      <x:c r="C21" s="420" t="inlineStr">
        <x:is>
          <x:t xml:space="preserve">Dingolfing</x:t>
        </x:is>
      </x:c>
      <x:c r="D21" s="420" t="inlineStr">
        <x:is>
          <x:t xml:space="preserve">Yes</x:t>
        </x:is>
      </x:c>
      <x:c r="E21" s="184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 s="62" customFormat="1" ht="22" customHeight="1">
      <x:c r="A22" s="419" t="inlineStr">
        <x:is>
          <x:t xml:space="preserve">BMW iX1</x:t>
        </x:is>
      </x:c>
      <x:c r="B22" s="534" t="n">
        <x:v>3</x:v>
      </x:c>
      <x:c r="C22" s="419" t="inlineStr">
        <x:is>
          <x:t xml:space="preserve">Chennai, Regensburg, Shenyang (Tiexi)</x:t>
        </x:is>
      </x:c>
      <x:c r="D22" s="419" t="inlineStr">
        <x:is>
          <x:t xml:space="preserve">No</x:t>
        </x:is>
      </x:c>
      <x:c r="E22" s="190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 s="62" customFormat="1" ht="22" customHeight="1">
      <x:c r="A23" s="420" t="inlineStr">
        <x:is>
          <x:t xml:space="preserve">BMW iX2</x:t>
        </x:is>
      </x:c>
      <x:c r="B23" s="535" t="n">
        <x:v>1</x:v>
      </x:c>
      <x:c r="C23" s="420" t="inlineStr">
        <x:is>
          <x:t xml:space="preserve">Regensburg</x:t>
        </x:is>
      </x:c>
      <x:c r="D23" s="420" t="inlineStr">
        <x:is>
          <x:t xml:space="preserve">Yes</x:t>
        </x:is>
      </x:c>
      <x:c r="E23" s="184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 s="62" customFormat="1" ht="22" customHeight="1">
      <x:c r="A24" s="419" t="inlineStr">
        <x:is>
          <x:t xml:space="preserve">BMW iX3</x:t>
        </x:is>
      </x:c>
      <x:c r="B24" s="534" t="n">
        <x:v>1</x:v>
      </x:c>
      <x:c r="C24" s="419" t="inlineStr">
        <x:is>
          <x:t xml:space="preserve">Shenyang (Dadong)</x:t>
        </x:is>
      </x:c>
      <x:c r="D24" s="419" t="inlineStr">
        <x:is>
          <x:t xml:space="preserve">Yes</x:t>
        </x:is>
      </x:c>
      <x:c r="E24" s="190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 s="62" customFormat="1" ht="22" customHeight="1">
      <x:c r="A25" s="420" t="inlineStr">
        <x:is>
          <x:t xml:space="preserve">MINI Aceman</x:t>
        </x:is>
      </x:c>
      <x:c r="B25" s="535" t="n">
        <x:v>1</x:v>
      </x:c>
      <x:c r="C25" s="420" t="inlineStr">
        <x:is>
          <x:t xml:space="preserve">Zhangjiagang (Spotlight)</x:t>
        </x:is>
      </x:c>
      <x:c r="D25" s="420" t="inlineStr">
        <x:is>
          <x:t xml:space="preserve">Yes</x:t>
        </x:is>
      </x:c>
      <x:c r="E25" s="184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 s="62" customFormat="1" ht="22" customHeight="1">
      <x:c r="A26" s="419" t="inlineStr">
        <x:is>
          <x:t xml:space="preserve">MINI Cooper</x:t>
        </x:is>
      </x:c>
      <x:c r="B26" s="534" t="n">
        <x:v>2</x:v>
      </x:c>
      <x:c r="C26" s="419" t="inlineStr">
        <x:is>
          <x:t xml:space="preserve">Oxford, Zhangjiagang (Spotlight)</x:t>
        </x:is>
      </x:c>
      <x:c r="D26" s="419" t="inlineStr">
        <x:is>
          <x:t xml:space="preserve">No</x:t>
        </x:is>
      </x:c>
      <x:c r="E26" s="190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 s="62" customFormat="1" ht="22" customHeight="1">
      <x:c r="A27" s="420" t="inlineStr">
        <x:is>
          <x:t xml:space="preserve">MINI Cooper Convertible</x:t>
        </x:is>
      </x:c>
      <x:c r="B27" s="535" t="n">
        <x:v>1</x:v>
      </x:c>
      <x:c r="C27" s="420" t="inlineStr">
        <x:is>
          <x:t xml:space="preserve">Oxford</x:t>
        </x:is>
      </x:c>
      <x:c r="D27" s="420" t="inlineStr">
        <x:is>
          <x:t xml:space="preserve">Yes</x:t>
        </x:is>
      </x:c>
      <x:c r="E27" s="184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 s="62" customFormat="1" ht="22" customHeight="1">
      <x:c r="A28" s="419" t="inlineStr">
        <x:is>
          <x:t xml:space="preserve">MINI Countryman</x:t>
        </x:is>
      </x:c>
      <x:c r="B28" s="534" t="n">
        <x:v>2</x:v>
      </x:c>
      <x:c r="C28" s="419" t="inlineStr">
        <x:is>
          <x:t xml:space="preserve">Leipzig, Rayong</x:t>
        </x:is>
      </x:c>
      <x:c r="D28" s="419" t="inlineStr">
        <x:is>
          <x:t xml:space="preserve">No</x:t>
        </x:is>
      </x:c>
      <x:c r="E28" s="190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 s="62" customFormat="1" ht="22" customHeight="1">
      <x:c r="A29" s="450" t="n"/>
      <x:c r="B29" s="450" t="n"/>
      <x:c r="C29" s="450" t="n"/>
      <x:c r="D29" s="450" t="n"/>
      <x:c r="E29" s="289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 s="62" customFormat="1" ht="22" customHeight="1">
      <x:c r="A30" s="450" t="n"/>
      <x:c r="B30" s="450" t="n"/>
      <x:c r="C30" s="450" t="n"/>
      <x:c r="D30" s="450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 s="62" customFormat="1" ht="28" customHeight="1">
      <x:c r="A31" s="411" t="n"/>
      <x:c r="B31" s="411" t="n"/>
      <x:c r="C31" s="411" t="n"/>
      <x:c r="D31" s="411" t="n"/>
      <x:c r="E31" s="289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 s="62" customFormat="1" ht="22" customHeight="1">
      <x:c r="A32" s="478" t="inlineStr">
        <x:is>
          <x:t xml:space="preserve">Model line</x:t>
        </x:is>
      </x:c>
      <x:c r="B32" s="478" t="inlineStr">
        <x:is>
          <x:t xml:space="preserve">Site</x:t>
        </x:is>
      </x:c>
      <x:c r="C32" s="450" t="n"/>
      <x:c r="D32" s="450" t="n"/>
      <x:c r="E32" s="289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 s="62" customFormat="1" ht="22" customHeight="1">
      <x:c r="A33" s="450" t="inlineStr">
        <x:is>
          <x:t xml:space="preserve">BMW 1 Series</x:t>
        </x:is>
      </x:c>
      <x:c r="B33" s="450" t="inlineStr">
        <x:is>
          <x:t xml:space="preserve">Leipzig</x:t>
        </x:is>
      </x:c>
      <x:c r="C33" s="450" t="n"/>
      <x:c r="D33" s="450" t="n"/>
      <x:c r="E33" s="289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 s="62" customFormat="1" ht="22" customHeight="1">
      <x:c r="A34" s="450" t="inlineStr">
        <x:is>
          <x:t xml:space="preserve">BMW 2 Series</x:t>
        </x:is>
      </x:c>
      <x:c r="B34" s="450" t="inlineStr">
        <x:is>
          <x:t xml:space="preserve">Chennai</x:t>
        </x:is>
      </x:c>
      <x:c r="C34" s="450" t="n"/>
      <x:c r="D34" s="450" t="n"/>
      <x:c r="E34" s="289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 s="62" customFormat="1" ht="22" customHeight="1">
      <x:c r="A35" s="450" t="inlineStr">
        <x:is>
          <x:t xml:space="preserve">BMW 2 Series</x:t>
        </x:is>
      </x:c>
      <x:c r="B35" s="450" t="inlineStr">
        <x:is>
          <x:t xml:space="preserve">Leipzig</x:t>
        </x:is>
      </x:c>
      <x:c r="C35" s="450" t="n"/>
      <x:c r="D35" s="450" t="n"/>
      <x:c r="E35" s="289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 s="62" customFormat="1" ht="22" customHeight="1">
      <x:c r="A36" s="450" t="inlineStr">
        <x:is>
          <x:t xml:space="preserve">BMW 2 Series</x:t>
        </x:is>
      </x:c>
      <x:c r="B36" s="450" t="inlineStr">
        <x:is>
          <x:t xml:space="preserve">Rayong</x:t>
        </x:is>
      </x:c>
      <x:c r="C36" s="450" t="n"/>
      <x:c r="D36" s="450" t="n"/>
      <x:c r="E36" s="289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 s="62" customFormat="1" ht="22" customHeight="1">
      <x:c r="A37" s="450" t="inlineStr">
        <x:is>
          <x:t xml:space="preserve">BMW 2 Series</x:t>
        </x:is>
      </x:c>
      <x:c r="B37" s="450" t="inlineStr">
        <x:is>
          <x:t xml:space="preserve">San Luis Potosí</x:t>
        </x:is>
      </x:c>
      <x:c r="C37" s="450" t="n"/>
      <x:c r="D37" s="450" t="n"/>
      <x:c r="E37" s="289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 s="62" customFormat="1" ht="22" customHeight="1">
      <x:c r="A38" s="450" t="inlineStr">
        <x:is>
          <x:t xml:space="preserve">BMW 2 Series</x:t>
        </x:is>
      </x:c>
      <x:c r="B38" s="450" t="inlineStr">
        <x:is>
          <x:t xml:space="preserve">Shenyang (Tiexi)</x:t>
        </x:is>
      </x:c>
      <x:c r="C38" s="450" t="n"/>
      <x:c r="D38" s="450" t="n"/>
      <x:c r="E38" s="289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 s="62" customFormat="1" ht="22" customHeight="1">
      <x:c r="A39" s="450" t="inlineStr">
        <x:is>
          <x:t xml:space="preserve">BMW 3 Series</x:t>
        </x:is>
      </x:c>
      <x:c r="B39" s="450" t="inlineStr">
        <x:is>
          <x:t xml:space="preserve">Araquari</x:t>
        </x:is>
      </x:c>
      <x:c r="C39" s="450" t="n"/>
      <x:c r="D39" s="450" t="n"/>
      <x:c r="E39" s="289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 s="62" customFormat="1" ht="22" customHeight="1">
      <x:c r="A40" s="450" t="inlineStr">
        <x:is>
          <x:t xml:space="preserve">BMW 3 Series</x:t>
        </x:is>
      </x:c>
      <x:c r="B40" s="450" t="inlineStr">
        <x:is>
          <x:t xml:space="preserve">Chennai</x:t>
        </x:is>
      </x:c>
      <x:c r="C40" s="450" t="n"/>
      <x:c r="D40" s="450" t="n"/>
      <x:c r="E40" s="289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 s="62" customFormat="1" ht="22" customHeight="1">
      <x:c r="A41" s="450" t="inlineStr">
        <x:is>
          <x:t xml:space="preserve">BMW 3 Series</x:t>
        </x:is>
      </x:c>
      <x:c r="B41" s="450" t="inlineStr">
        <x:is>
          <x:t xml:space="preserve">Munich</x:t>
        </x:is>
      </x:c>
      <x:c r="C41" s="450" t="n"/>
      <x:c r="D41" s="450" t="n"/>
      <x:c r="E41" s="289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 s="62" customFormat="1" ht="22" customHeight="1">
      <x:c r="A42" s="450" t="inlineStr">
        <x:is>
          <x:t xml:space="preserve">BMW 3 Series</x:t>
        </x:is>
      </x:c>
      <x:c r="B42" s="450" t="inlineStr">
        <x:is>
          <x:t xml:space="preserve">Rayong</x:t>
        </x:is>
      </x:c>
      <x:c r="C42" s="450" t="n"/>
      <x:c r="D42" s="450" t="n"/>
      <x:c r="E42" s="289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 s="62" customFormat="1" ht="22" customHeight="1">
      <x:c r="A43" s="450" t="inlineStr">
        <x:is>
          <x:t xml:space="preserve">BMW 3 Series</x:t>
        </x:is>
      </x:c>
      <x:c r="B43" s="450" t="inlineStr">
        <x:is>
          <x:t xml:space="preserve">San Luis Potosí</x:t>
        </x:is>
      </x:c>
      <x:c r="C43" s="450" t="n"/>
      <x:c r="D43" s="450" t="n"/>
      <x:c r="E43" s="289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 s="62" customFormat="1" ht="22" customHeight="1">
      <x:c r="A44" s="450" t="inlineStr">
        <x:is>
          <x:t xml:space="preserve">BMW 3 Series</x:t>
        </x:is>
      </x:c>
      <x:c r="B44" s="450" t="inlineStr">
        <x:is>
          <x:t xml:space="preserve">Shenyang (Tiexi)</x:t>
        </x:is>
      </x:c>
      <x:c r="C44" s="450" t="n"/>
      <x:c r="D44" s="450" t="n"/>
      <x:c r="E44" s="289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 s="62" customFormat="1" ht="22" customHeight="1">
      <x:c r="A45" s="450" t="inlineStr">
        <x:is>
          <x:t xml:space="preserve">BMW 4 Series</x:t>
        </x:is>
      </x:c>
      <x:c r="B45" s="450" t="inlineStr">
        <x:is>
          <x:t xml:space="preserve">Dingolfing</x:t>
        </x:is>
      </x:c>
      <x:c r="C45" s="450" t="n"/>
      <x:c r="D45" s="450" t="n"/>
      <x:c r="E45" s="289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 s="62" customFormat="1" ht="22" customHeight="1">
      <x:c r="A46" s="450" t="inlineStr">
        <x:is>
          <x:t xml:space="preserve">BMW 4 Series</x:t>
        </x:is>
      </x:c>
      <x:c r="B46" s="450" t="inlineStr">
        <x:is>
          <x:t xml:space="preserve">Munich</x:t>
        </x:is>
      </x:c>
      <x:c r="C46" s="450" t="n"/>
      <x:c r="D46" s="450" t="n"/>
      <x:c r="E46" s="289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 s="62" customFormat="1" ht="22" customHeight="1">
      <x:c r="A47" s="450" t="inlineStr">
        <x:is>
          <x:t xml:space="preserve">BMW 5 Series</x:t>
        </x:is>
      </x:c>
      <x:c r="B47" s="450" t="inlineStr">
        <x:is>
          <x:t xml:space="preserve">Chennai</x:t>
        </x:is>
      </x:c>
      <x:c r="C47" s="450" t="n"/>
      <x:c r="D47" s="450" t="n"/>
      <x:c r="E47" s="289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 s="62" customFormat="1" ht="22" customHeight="1">
      <x:c r="A48" s="450" t="inlineStr">
        <x:is>
          <x:t xml:space="preserve">BMW 5 Series</x:t>
        </x:is>
      </x:c>
      <x:c r="B48" s="450" t="inlineStr">
        <x:is>
          <x:t xml:space="preserve">Dingolfing</x:t>
        </x:is>
      </x:c>
      <x:c r="C48" s="450" t="n"/>
      <x:c r="D48" s="450" t="n"/>
      <x:c r="E48" s="289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 s="62" customFormat="1" ht="22" customHeight="1">
      <x:c r="A49" s="450" t="inlineStr">
        <x:is>
          <x:t xml:space="preserve">BMW 5 Series</x:t>
        </x:is>
      </x:c>
      <x:c r="B49" s="450" t="inlineStr">
        <x:is>
          <x:t xml:space="preserve">Rayong</x:t>
        </x:is>
      </x:c>
      <x:c r="C49" s="450" t="n"/>
      <x:c r="D49" s="450" t="n"/>
      <x:c r="E49" s="289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 s="62" customFormat="1" ht="22" customHeight="1">
      <x:c r="A50" s="450" t="inlineStr">
        <x:is>
          <x:t xml:space="preserve">BMW 5 Series</x:t>
        </x:is>
      </x:c>
      <x:c r="B50" s="450" t="inlineStr">
        <x:is>
          <x:t xml:space="preserve">Shenyang (Dadong)</x:t>
        </x:is>
      </x:c>
      <x:c r="C50" s="450" t="n"/>
      <x:c r="D50" s="450" t="n"/>
      <x:c r="E50" s="289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 s="62" customFormat="1" ht="22" customHeight="1">
      <x:c r="A51" s="450" t="inlineStr">
        <x:is>
          <x:t xml:space="preserve">BMW 7 Series</x:t>
        </x:is>
      </x:c>
      <x:c r="B51" s="450" t="inlineStr">
        <x:is>
          <x:t xml:space="preserve">Chennai</x:t>
        </x:is>
      </x:c>
      <x:c r="C51" s="450" t="n"/>
      <x:c r="D51" s="450" t="n"/>
      <x:c r="E51" s="289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 s="62" customFormat="1" ht="22" customHeight="1">
      <x:c r="A52" s="450" t="inlineStr">
        <x:is>
          <x:t xml:space="preserve">BMW 7 Series</x:t>
        </x:is>
      </x:c>
      <x:c r="B52" s="450" t="inlineStr">
        <x:is>
          <x:t xml:space="preserve">Dingolfing</x:t>
        </x:is>
      </x:c>
      <x:c r="C52" s="450" t="n"/>
      <x:c r="D52" s="450" t="n"/>
      <x:c r="E52" s="289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 s="62" customFormat="1" ht="22" customHeight="1">
      <x:c r="A53" s="450" t="inlineStr">
        <x:is>
          <x:t xml:space="preserve">BMW 8 Series</x:t>
        </x:is>
      </x:c>
      <x:c r="B53" s="450" t="inlineStr">
        <x:is>
          <x:t xml:space="preserve">Dingolfing</x:t>
        </x:is>
      </x:c>
      <x:c r="C53" s="450" t="n"/>
      <x:c r="D53" s="450" t="n"/>
      <x:c r="E53" s="289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 s="62" customFormat="1" ht="22" customHeight="1">
      <x:c r="A54" s="450" t="inlineStr">
        <x:is>
          <x:t xml:space="preserve">BMW X1</x:t>
        </x:is>
      </x:c>
      <x:c r="B54" s="450" t="inlineStr">
        <x:is>
          <x:t xml:space="preserve">Araquari</x:t>
        </x:is>
      </x:c>
      <x:c r="C54" s="450" t="n"/>
      <x:c r="D54" s="450" t="n"/>
      <x:c r="E54" s="289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 s="62" customFormat="1" ht="22" customHeight="1">
      <x:c r="A55" s="450" t="inlineStr">
        <x:is>
          <x:t xml:space="preserve">BMW X1</x:t>
        </x:is>
      </x:c>
      <x:c r="B55" s="450" t="inlineStr">
        <x:is>
          <x:t xml:space="preserve">Chennai</x:t>
        </x:is>
      </x:c>
      <x:c r="C55" s="450" t="n"/>
      <x:c r="D55" s="450" t="n"/>
      <x:c r="E55" s="289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 s="62" customFormat="1" ht="22" customHeight="1">
      <x:c r="A56" s="450" t="inlineStr">
        <x:is>
          <x:t xml:space="preserve">BMW X1</x:t>
        </x:is>
      </x:c>
      <x:c r="B56" s="450" t="inlineStr">
        <x:is>
          <x:t xml:space="preserve">Rayong</x:t>
        </x:is>
      </x:c>
      <x:c r="C56" s="450" t="n"/>
      <x:c r="D56" s="450" t="n"/>
      <x:c r="E56" s="289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 s="62" customFormat="1" ht="22" customHeight="1">
      <x:c r="A57" s="450" t="inlineStr">
        <x:is>
          <x:t xml:space="preserve">BMW X1</x:t>
        </x:is>
      </x:c>
      <x:c r="B57" s="450" t="inlineStr">
        <x:is>
          <x:t xml:space="preserve">Regensburg</x:t>
        </x:is>
      </x:c>
      <x:c r="C57" s="450" t="n"/>
      <x:c r="D57" s="450" t="n"/>
      <x:c r="E57" s="289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 s="62" customFormat="1" ht="22" customHeight="1">
      <x:c r="A58" s="450" t="inlineStr">
        <x:is>
          <x:t xml:space="preserve">BMW X1</x:t>
        </x:is>
      </x:c>
      <x:c r="B58" s="450" t="inlineStr">
        <x:is>
          <x:t xml:space="preserve">Shenyang (Tiexi)</x:t>
        </x:is>
      </x:c>
      <x:c r="C58" s="450" t="n"/>
      <x:c r="D58" s="450" t="n"/>
      <x:c r="E58" s="289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 s="62" customFormat="1" ht="22" customHeight="1">
      <x:c r="A59" s="450" t="inlineStr">
        <x:is>
          <x:t xml:space="preserve">BMW X2</x:t>
        </x:is>
      </x:c>
      <x:c r="B59" s="450" t="inlineStr">
        <x:is>
          <x:t xml:space="preserve">Regensburg</x:t>
        </x:is>
      </x:c>
      <x:c r="C59" s="450" t="n"/>
      <x:c r="D59" s="450" t="n"/>
      <x:c r="E59" s="289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 s="62" customFormat="1" ht="22" customHeight="1">
      <x:c r="A60" s="450" t="inlineStr">
        <x:is>
          <x:t xml:space="preserve">BMW X3</x:t>
        </x:is>
      </x:c>
      <x:c r="B60" s="450" t="inlineStr">
        <x:is>
          <x:t xml:space="preserve">Chennai</x:t>
        </x:is>
      </x:c>
      <x:c r="C60" s="450" t="n"/>
      <x:c r="D60" s="450" t="n"/>
      <x:c r="E60" s="289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 s="62" customFormat="1" ht="22" customHeight="1">
      <x:c r="A61" s="450" t="inlineStr">
        <x:is>
          <x:t xml:space="preserve">BMW X3</x:t>
        </x:is>
      </x:c>
      <x:c r="B61" s="450" t="inlineStr">
        <x:is>
          <x:t xml:space="preserve">Rayong</x:t>
        </x:is>
      </x:c>
      <x:c r="C61" s="450" t="n"/>
      <x:c r="D61" s="450" t="n"/>
      <x:c r="E61" s="289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 s="62" customFormat="1" ht="22" customHeight="1">
      <x:c r="A62" s="450" t="inlineStr">
        <x:is>
          <x:t xml:space="preserve">BMW X3</x:t>
        </x:is>
      </x:c>
      <x:c r="B62" s="450" t="inlineStr">
        <x:is>
          <x:t xml:space="preserve">Rosslyn</x:t>
        </x:is>
      </x:c>
      <x:c r="C62" s="450" t="n"/>
      <x:c r="D62" s="450" t="n"/>
      <x:c r="E62" s="289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 s="62" customFormat="1" ht="22" customHeight="1">
      <x:c r="A63" s="450" t="inlineStr">
        <x:is>
          <x:t xml:space="preserve">BMW X3</x:t>
        </x:is>
      </x:c>
      <x:c r="B63" s="450" t="inlineStr">
        <x:is>
          <x:t xml:space="preserve">Shenyang (Tiexi)</x:t>
        </x:is>
      </x:c>
      <x:c r="C63" s="450" t="n"/>
      <x:c r="D63" s="450" t="n"/>
      <x:c r="E63" s="289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 s="62" customFormat="1" ht="22" customHeight="1">
      <x:c r="A64" s="450" t="inlineStr">
        <x:is>
          <x:t xml:space="preserve">BMW X3</x:t>
        </x:is>
      </x:c>
      <x:c r="B64" s="450" t="inlineStr">
        <x:is>
          <x:t xml:space="preserve">Spartanburg</x:t>
        </x:is>
      </x:c>
      <x:c r="C64" s="450" t="n"/>
      <x:c r="D64" s="450" t="n"/>
      <x:c r="E64" s="289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 s="62" customFormat="1" ht="22" customHeight="1">
      <x:c r="A65" s="450" t="inlineStr">
        <x:is>
          <x:t xml:space="preserve">BMW X4</x:t>
        </x:is>
      </x:c>
      <x:c r="B65" s="450" t="inlineStr">
        <x:is>
          <x:t xml:space="preserve">Araquari</x:t>
        </x:is>
      </x:c>
      <x:c r="C65" s="450" t="n"/>
      <x:c r="D65" s="450" t="n"/>
      <x:c r="E65" s="289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 s="62" customFormat="1" ht="22" customHeight="1">
      <x:c r="A66" s="450" t="inlineStr">
        <x:is>
          <x:t xml:space="preserve">BMW X4</x:t>
        </x:is>
      </x:c>
      <x:c r="B66" s="450" t="inlineStr">
        <x:is>
          <x:t xml:space="preserve">Spartanburg</x:t>
        </x:is>
      </x:c>
      <x:c r="C66" s="450" t="n"/>
      <x:c r="D66" s="450" t="n"/>
      <x:c r="E66" s="289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 s="62" customFormat="1" ht="22" customHeight="1">
      <x:c r="A67" s="450" t="inlineStr">
        <x:is>
          <x:t xml:space="preserve">BMW X5</x:t>
        </x:is>
      </x:c>
      <x:c r="B67" s="450" t="inlineStr">
        <x:is>
          <x:t xml:space="preserve">Araquari</x:t>
        </x:is>
      </x:c>
      <x:c r="C67" s="450" t="n"/>
      <x:c r="D67" s="450" t="n"/>
      <x:c r="E67" s="289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 s="62" customFormat="1" ht="22" customHeight="1">
      <x:c r="A68" s="450" t="inlineStr">
        <x:is>
          <x:t xml:space="preserve">BMW X5</x:t>
        </x:is>
      </x:c>
      <x:c r="B68" s="450" t="inlineStr">
        <x:is>
          <x:t xml:space="preserve">Chennai</x:t>
        </x:is>
      </x:c>
      <x:c r="C68" s="450" t="n"/>
      <x:c r="D68" s="450" t="n"/>
      <x:c r="E68" s="289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 s="62" customFormat="1" ht="22" customHeight="1">
      <x:c r="A69" s="450" t="inlineStr">
        <x:is>
          <x:t xml:space="preserve">BMW X5</x:t>
        </x:is>
      </x:c>
      <x:c r="B69" s="450" t="inlineStr">
        <x:is>
          <x:t xml:space="preserve">Rayong</x:t>
        </x:is>
      </x:c>
      <x:c r="C69" s="450" t="n"/>
      <x:c r="D69" s="450" t="n"/>
      <x:c r="E69" s="289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 s="62" customFormat="1" ht="22" customHeight="1">
      <x:c r="A70" s="450" t="inlineStr">
        <x:is>
          <x:t xml:space="preserve">BMW X5</x:t>
        </x:is>
      </x:c>
      <x:c r="B70" s="450" t="inlineStr">
        <x:is>
          <x:t xml:space="preserve">Shenyang (Dadong)</x:t>
        </x:is>
      </x:c>
      <x:c r="C70" s="450" t="n"/>
      <x:c r="D70" s="450" t="n"/>
      <x:c r="E70" s="289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 s="62" customFormat="1" ht="22" customHeight="1">
      <x:c r="A71" s="450" t="inlineStr">
        <x:is>
          <x:t xml:space="preserve">BMW X5</x:t>
        </x:is>
      </x:c>
      <x:c r="B71" s="450" t="inlineStr">
        <x:is>
          <x:t xml:space="preserve">Spartanburg</x:t>
        </x:is>
      </x:c>
      <x:c r="C71" s="450" t="n"/>
      <x:c r="D71" s="450" t="n"/>
      <x:c r="E71" s="289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 s="62" customFormat="1" ht="22" customHeight="1">
      <x:c r="A72" s="450" t="inlineStr">
        <x:is>
          <x:t xml:space="preserve">BMW X6</x:t>
        </x:is>
      </x:c>
      <x:c r="B72" s="450" t="inlineStr">
        <x:is>
          <x:t xml:space="preserve">Rayong</x:t>
        </x:is>
      </x:c>
      <x:c r="C72" s="450" t="n"/>
      <x:c r="D72" s="450" t="n"/>
      <x:c r="E72" s="289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 s="62" customFormat="1" ht="22" customHeight="1">
      <x:c r="A73" s="450" t="inlineStr">
        <x:is>
          <x:t xml:space="preserve">BMW X6</x:t>
        </x:is>
      </x:c>
      <x:c r="B73" s="450" t="inlineStr">
        <x:is>
          <x:t xml:space="preserve">Spartanburg</x:t>
        </x:is>
      </x:c>
      <x:c r="C73" s="450" t="n"/>
      <x:c r="D73" s="450" t="n"/>
      <x:c r="E73" s="289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 s="62" customFormat="1" ht="22" customHeight="1">
      <x:c r="A74" s="450" t="inlineStr">
        <x:is>
          <x:t xml:space="preserve">BMW X7</x:t>
        </x:is>
      </x:c>
      <x:c r="B74" s="450" t="inlineStr">
        <x:is>
          <x:t xml:space="preserve">Chennai</x:t>
        </x:is>
      </x:c>
      <x:c r="C74" s="450" t="n"/>
      <x:c r="D74" s="450" t="n"/>
      <x:c r="E74" s="289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 s="62" customFormat="1" ht="22" customHeight="1">
      <x:c r="A75" s="450" t="inlineStr">
        <x:is>
          <x:t xml:space="preserve">BMW X7</x:t>
        </x:is>
      </x:c>
      <x:c r="B75" s="450" t="inlineStr">
        <x:is>
          <x:t xml:space="preserve">Rayong</x:t>
        </x:is>
      </x:c>
      <x:c r="C75" s="450" t="n"/>
      <x:c r="D75" s="450" t="n"/>
      <x:c r="E75" s="289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 s="62" customFormat="1" ht="22" customHeight="1">
      <x:c r="A76" s="450" t="inlineStr">
        <x:is>
          <x:t xml:space="preserve">BMW X7</x:t>
        </x:is>
      </x:c>
      <x:c r="B76" s="450" t="inlineStr">
        <x:is>
          <x:t xml:space="preserve">Spartanburg</x:t>
        </x:is>
      </x:c>
      <x:c r="C76" s="450" t="n"/>
      <x:c r="D76" s="450" t="n"/>
      <x:c r="E76" s="289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 s="62" customFormat="1" ht="22" customHeight="1">
      <x:c r="A77" s="450" t="inlineStr">
        <x:is>
          <x:t xml:space="preserve">BMW XM</x:t>
        </x:is>
      </x:c>
      <x:c r="B77" s="450" t="inlineStr">
        <x:is>
          <x:t xml:space="preserve">Spartanburg</x:t>
        </x:is>
      </x:c>
      <x:c r="C77" s="450" t="n"/>
      <x:c r="D77" s="450" t="n"/>
      <x:c r="E77" s="289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 s="62" customFormat="1" ht="22" customHeight="1">
      <x:c r="A78" s="450" t="inlineStr">
        <x:is>
          <x:t xml:space="preserve">BMW i3</x:t>
        </x:is>
      </x:c>
      <x:c r="B78" s="450" t="inlineStr">
        <x:is>
          <x:t xml:space="preserve">Shenyang (Tiexi)</x:t>
        </x:is>
      </x:c>
      <x:c r="C78" s="450" t="n"/>
      <x:c r="D78" s="450" t="n"/>
      <x:c r="E78" s="289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 s="62" customFormat="1" ht="22" customHeight="1">
      <x:c r="A79" s="450" t="inlineStr">
        <x:is>
          <x:t xml:space="preserve">BMW i4</x:t>
        </x:is>
      </x:c>
      <x:c r="B79" s="450" t="inlineStr">
        <x:is>
          <x:t xml:space="preserve">Munich</x:t>
        </x:is>
      </x:c>
      <x:c r="C79" s="450" t="n"/>
      <x:c r="D79" s="450" t="n"/>
      <x:c r="E79" s="289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 s="62" customFormat="1" ht="22" customHeight="1">
      <x:c r="A80" s="450" t="inlineStr">
        <x:is>
          <x:t xml:space="preserve">BMW i5</x:t>
        </x:is>
      </x:c>
      <x:c r="B80" s="450" t="inlineStr">
        <x:is>
          <x:t xml:space="preserve">Dingolfing</x:t>
        </x:is>
      </x:c>
      <x:c r="C80" s="450" t="n"/>
      <x:c r="D80" s="450" t="n"/>
      <x:c r="E80" s="289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 s="62" customFormat="1" ht="22" customHeight="1">
      <x:c r="A81" s="450" t="inlineStr">
        <x:is>
          <x:t xml:space="preserve">BMW i5</x:t>
        </x:is>
      </x:c>
      <x:c r="B81" s="450" t="inlineStr">
        <x:is>
          <x:t xml:space="preserve">Rayong</x:t>
        </x:is>
      </x:c>
      <x:c r="C81" s="450" t="n"/>
      <x:c r="D81" s="450" t="n"/>
      <x:c r="E81" s="289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 s="62" customFormat="1" ht="22" customHeight="1">
      <x:c r="A82" s="450" t="inlineStr">
        <x:is>
          <x:t xml:space="preserve">BMW i5</x:t>
        </x:is>
      </x:c>
      <x:c r="B82" s="450" t="inlineStr">
        <x:is>
          <x:t xml:space="preserve">Shenyang (Dadong)</x:t>
        </x:is>
      </x:c>
      <x:c r="C82" s="450" t="n"/>
      <x:c r="D82" s="450" t="n"/>
      <x:c r="E82" s="289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 s="62" customFormat="1" ht="22" customHeight="1">
      <x:c r="A83" s="450" t="inlineStr">
        <x:is>
          <x:t xml:space="preserve">BMW i7</x:t>
        </x:is>
      </x:c>
      <x:c r="B83" s="450" t="inlineStr">
        <x:is>
          <x:t xml:space="preserve">Dingolfing</x:t>
        </x:is>
      </x:c>
      <x:c r="C83" s="450" t="n"/>
      <x:c r="D83" s="450" t="n"/>
      <x:c r="E83" s="289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 s="62" customFormat="1" ht="22" customHeight="1">
      <x:c r="A84" s="450" t="inlineStr">
        <x:is>
          <x:t xml:space="preserve">BMW iX</x:t>
        </x:is>
      </x:c>
      <x:c r="B84" s="450" t="inlineStr">
        <x:is>
          <x:t xml:space="preserve">Dingolfing</x:t>
        </x:is>
      </x:c>
      <x:c r="C84" s="450" t="n"/>
      <x:c r="D84" s="450" t="n"/>
      <x:c r="E84" s="289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 s="62" customFormat="1" ht="22" customHeight="1">
      <x:c r="A85" s="450" t="inlineStr">
        <x:is>
          <x:t xml:space="preserve">BMW iX1</x:t>
        </x:is>
      </x:c>
      <x:c r="B85" s="450" t="inlineStr">
        <x:is>
          <x:t xml:space="preserve">Chennai</x:t>
        </x:is>
      </x:c>
      <x:c r="C85" s="450" t="n"/>
      <x:c r="D85" s="450" t="n"/>
      <x:c r="E85" s="289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 s="62" customFormat="1" ht="22" customHeight="1">
      <x:c r="A86" s="450" t="inlineStr">
        <x:is>
          <x:t xml:space="preserve">BMW iX1</x:t>
        </x:is>
      </x:c>
      <x:c r="B86" s="450" t="inlineStr">
        <x:is>
          <x:t xml:space="preserve">Regensburg</x:t>
        </x:is>
      </x:c>
      <x:c r="C86" s="450" t="n"/>
      <x:c r="D86" s="450" t="n"/>
      <x:c r="E86" s="289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 s="62" customFormat="1" ht="22" customHeight="1">
      <x:c r="A87" s="450" t="inlineStr">
        <x:is>
          <x:t xml:space="preserve">BMW iX1</x:t>
        </x:is>
      </x:c>
      <x:c r="B87" s="450" t="inlineStr">
        <x:is>
          <x:t xml:space="preserve">Shenyang (Tiexi)</x:t>
        </x:is>
      </x:c>
      <x:c r="C87" s="450" t="n"/>
      <x:c r="D87" s="450" t="n"/>
      <x:c r="E87" s="289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 s="62" customFormat="1" ht="22" customHeight="1">
      <x:c r="A88" s="450" t="inlineStr">
        <x:is>
          <x:t xml:space="preserve">BMW iX2</x:t>
        </x:is>
      </x:c>
      <x:c r="B88" s="450" t="inlineStr">
        <x:is>
          <x:t xml:space="preserve">Regensburg</x:t>
        </x:is>
      </x:c>
      <x:c r="C88" s="450" t="n"/>
      <x:c r="D88" s="450" t="n"/>
      <x:c r="E88" s="289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 s="62" customFormat="1" ht="22" customHeight="1">
      <x:c r="A89" s="450" t="inlineStr">
        <x:is>
          <x:t xml:space="preserve">BMW iX3</x:t>
        </x:is>
      </x:c>
      <x:c r="B89" s="450" t="inlineStr">
        <x:is>
          <x:t xml:space="preserve">Shenyang (Dadong)</x:t>
        </x:is>
      </x:c>
      <x:c r="C89" s="450" t="n"/>
      <x:c r="D89" s="450" t="n"/>
      <x:c r="E89" s="289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 s="62" customFormat="1" ht="22" customHeight="1">
      <x:c r="A90" s="450" t="inlineStr">
        <x:is>
          <x:t xml:space="preserve">MINI Aceman</x:t>
        </x:is>
      </x:c>
      <x:c r="B90" s="450" t="inlineStr">
        <x:is>
          <x:t xml:space="preserve">Zhangjiagang (Spotlight)</x:t>
        </x:is>
      </x:c>
      <x:c r="C90" s="450" t="n"/>
      <x:c r="D90" s="450" t="n"/>
      <x:c r="E90" s="289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 s="62" customFormat="1" ht="22" customHeight="1">
      <x:c r="A91" s="450" t="inlineStr">
        <x:is>
          <x:t xml:space="preserve">MINI Cooper</x:t>
        </x:is>
      </x:c>
      <x:c r="B91" s="450" t="inlineStr">
        <x:is>
          <x:t xml:space="preserve">Oxford</x:t>
        </x:is>
      </x:c>
      <x:c r="C91" s="450" t="n"/>
      <x:c r="D91" s="450" t="n"/>
      <x:c r="E91" s="289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 s="62" customFormat="1" ht="22" customHeight="1">
      <x:c r="A92" s="450" t="inlineStr">
        <x:is>
          <x:t xml:space="preserve">MINI Cooper</x:t>
        </x:is>
      </x:c>
      <x:c r="B92" s="450" t="inlineStr">
        <x:is>
          <x:t xml:space="preserve">Zhangjiagang (Spotlight)</x:t>
        </x:is>
      </x:c>
      <x:c r="C92" s="450" t="n"/>
      <x:c r="D92" s="450" t="n"/>
      <x:c r="E92" s="289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 s="62" customFormat="1" ht="22" customHeight="1">
      <x:c r="A93" s="450" t="inlineStr">
        <x:is>
          <x:t xml:space="preserve">MINI Cooper Convertible</x:t>
        </x:is>
      </x:c>
      <x:c r="B93" s="450" t="inlineStr">
        <x:is>
          <x:t xml:space="preserve">Oxford</x:t>
        </x:is>
      </x:c>
      <x:c r="C93" s="450" t="n"/>
      <x:c r="D93" s="450" t="n"/>
      <x:c r="E93" s="289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 s="62" customFormat="1" ht="22" customHeight="1">
      <x:c r="A94" s="450" t="inlineStr">
        <x:is>
          <x:t xml:space="preserve">MINI Countryman</x:t>
        </x:is>
      </x:c>
      <x:c r="B94" s="450" t="inlineStr">
        <x:is>
          <x:t xml:space="preserve">Leipzig</x:t>
        </x:is>
      </x:c>
      <x:c r="C94" s="450" t="n"/>
      <x:c r="D94" s="450" t="n"/>
      <x:c r="E94" s="289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 s="62" customFormat="1" ht="22" customHeight="1">
      <x:c r="A95" s="450" t="inlineStr">
        <x:is>
          <x:t xml:space="preserve">MINI Countryman</x:t>
        </x:is>
      </x:c>
      <x:c r="B95" s="450" t="inlineStr">
        <x:is>
          <x:t xml:space="preserve">Rayong</x:t>
        </x:is>
      </x:c>
      <x:c r="C95" s="450" t="n"/>
      <x:c r="D95" s="450" t="n"/>
      <x:c r="E95" s="289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 s="62" customFormat="1" ht="22" customHeight="1">
      <x:c r="A96" s="113" t="n"/>
      <x:c r="B96" s="113" t="n"/>
      <x:c r="C96" s="113" t="n"/>
      <x:c r="D96" s="113" t="n"/>
      <x:c r="E96" s="289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 s="62" customFormat="1" ht="22" customHeight="1">
      <x:c r="A97" s="113" t="n"/>
      <x:c r="B97" s="113" t="n"/>
      <x:c r="C97" s="113" t="n"/>
      <x:c r="D97" s="113" t="n"/>
      <x:c r="E97" s="289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 s="62" customFormat="1" ht="22" customHeight="1">
      <x:c r="A98" s="113" t="n"/>
      <x:c r="B98" s="113" t="n"/>
      <x:c r="C98" s="113" t="n"/>
      <x:c r="D98" s="113" t="n"/>
      <x:c r="E98" s="289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289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289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289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289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289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289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289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289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289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289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289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289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289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289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289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289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289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289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289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289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289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289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289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289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289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289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289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289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289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289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289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289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289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289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289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289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289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289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289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289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289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289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289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289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289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289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289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289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289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289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289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289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289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289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289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289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289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289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289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289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289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289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289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289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289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289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289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289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289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289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289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289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289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289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289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289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289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289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289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289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289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289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289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289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289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289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289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289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289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289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289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289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289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289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289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289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289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289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289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289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289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289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tableParts count="4">
    <x:tablePart xmlns:r="http://schemas.openxmlformats.org/officeDocument/2006/relationships" r:id="R8f58c1982d0542e2"/>
    <x:tablePart xmlns:r="http://schemas.openxmlformats.org/officeDocument/2006/relationships" r:id="R2af920078ee5411b"/>
    <x:tablePart xmlns:r="http://schemas.openxmlformats.org/officeDocument/2006/relationships" r:id="Rde1a08edabef446d"/>
    <x:tablePart xmlns:r="http://schemas.openxmlformats.org/officeDocument/2006/relationships" r:id="R5e3fa5c5165840e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style="62" customWidth="1"/>
    <x:col min="2" max="2" width="18" style="62" customWidth="1"/>
    <x:col min="3" max="3" width="24" style="62" customWidth="1"/>
    <x:col min="4" max="4" width="58" style="62" customWidth="1"/>
    <x:col min="5" max="5" width="15" style="62" customWidth="1"/>
    <x:col min="6" max="6" width="28" style="62" customWidth="1"/>
  </x:cols>
  <x:sheetData>
    <x:row r="1" s="62" customFormat="1" ht="30" customHeight="1">
      <x:c r="A1" s="411" t="inlineStr">
        <x:is>
          <x:t xml:space="preserve">Date</x:t>
        </x:is>
      </x:c>
      <x:c r="B1" s="411" t="inlineStr">
        <x:is>
          <x:t xml:space="preserve">Type</x:t>
        </x:is>
      </x:c>
      <x:c r="C1" s="411" t="inlineStr">
        <x:is>
          <x:t xml:space="preserve">Site / scope</x:t>
        </x:is>
      </x:c>
      <x:c r="D1" s="411" t="inlineStr">
        <x:is>
          <x:t xml:space="preserve">Evidence</x:t>
        </x:is>
      </x:c>
      <x:c r="E1" s="411" t="inlineStr">
        <x:is>
          <x:t xml:space="preserve">Source</x:t>
        </x:is>
      </x:c>
      <x:c r="F1" s="411" t="inlineStr">
        <x:is>
          <x:t xml:space="preserve">Analytical reading</x:t>
        </x:is>
      </x:c>
      <x:c r="G1" s="289" t="n"/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48" customHeight="1">
      <x:c r="A2" s="419" t="inlineStr">
        <x:is>
          <x:t xml:space="preserve">24 Mar 2025</x:t>
        </x:is>
      </x:c>
      <x:c r="B2" s="419" t="inlineStr">
        <x:is>
          <x:t xml:space="preserve">Network strategy</x:t>
        </x:is>
      </x:c>
      <x:c r="C2" s="419" t="inlineStr">
        <x:is>
          <x:t xml:space="preserve">Global network</x:t>
        </x:is>
      </x:c>
      <x:c r="D2" s="419" t="inlineStr">
        <x:is>
          <x:t xml:space="preserve">BMW describes flexible plants and market-proximity allocation; German plants Munich, Dingolfing, Regensburg and Leipzig each produce at least one BEV alongside conventional drives.</x:t>
        </x:is>
      </x:c>
      <x:c r="E2" s="419" t="inlineStr">
        <x:is>
          <x:t xml:space="preserve">S2</x:t>
        </x:is>
      </x:c>
      <x:c r="F2" s="419" t="inlineStr">
        <x:is>
          <x:t xml:space="preserve">Strategic context</x:t>
        </x:is>
      </x:c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48" customHeight="1">
      <x:c r="A3" s="420" t="inlineStr">
        <x:is>
          <x:t xml:space="preserve">29 Sep 2025</x:t>
        </x:is>
      </x:c>
      <x:c r="B3" s="420" t="inlineStr">
        <x:is>
          <x:t xml:space="preserve">Plant opening</x:t>
        </x:is>
      </x:c>
      <x:c r="C3" s="420" t="inlineStr">
        <x:is>
          <x:t xml:space="preserve">Debrecen</x:t>
        </x:is>
      </x:c>
      <x:c r="D3" s="420" t="inlineStr">
        <x:is>
          <x:t xml:space="preserve">Plant officially opened; BMW identifies the iX3 as the first Neue Klasse series-production vehicle and notes on-site Gen6 battery assembly.</x:t>
        </x:is>
      </x:c>
      <x:c r="E3" s="420" t="inlineStr">
        <x:is>
          <x:t xml:space="preserve">S4</x:t>
        </x:is>
      </x:c>
      <x:c r="F3" s="420" t="inlineStr">
        <x:is>
          <x:t xml:space="preserve">Dedicated BEV launch node</x:t>
        </x:is>
      </x:c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48" customHeight="1">
      <x:c r="A4" s="419" t="inlineStr">
        <x:is>
          <x:t xml:space="preserve">Late Oct 2025</x:t>
        </x:is>
      </x:c>
      <x:c r="B4" s="419" t="inlineStr">
        <x:is>
          <x:t xml:space="preserve">Series production</x:t>
        </x:is>
      </x:c>
      <x:c r="C4" s="419" t="inlineStr">
        <x:is>
          <x:t xml:space="preserve">Debrecen</x:t>
        </x:is>
      </x:c>
      <x:c r="D4" s="419" t="inlineStr">
        <x:is>
          <x:t xml:space="preserve">BMW states that series production of the iX3, the first Neue Klasse vehicle, began in late October 2025.</x:t>
        </x:is>
      </x:c>
      <x:c r="E4" s="419" t="inlineStr">
        <x:is>
          <x:t xml:space="preserve">S4; S14</x:t>
        </x:is>
      </x:c>
      <x:c r="F4" s="419" t="inlineStr">
        <x:is>
          <x:t xml:space="preserve">Neue Klasse production launch</x:t>
        </x:is>
      </x:c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48" customHeight="1">
      <x:c r="A5" s="420" t="inlineStr">
        <x:is>
          <x:t xml:space="preserve">4 Feb 2026</x:t>
        </x:is>
      </x:c>
      <x:c r="B5" s="420" t="inlineStr">
        <x:is>
          <x:t xml:space="preserve">Pre-series</x:t>
        </x:is>
      </x:c>
      <x:c r="C5" s="420" t="inlineStr">
        <x:is>
          <x:t xml:space="preserve">Munich</x:t>
        </x:is>
      </x:c>
      <x:c r="D5" s="420" t="inlineStr">
        <x:is>
          <x:t xml:space="preserve">Pre-series BMW i3 vehicles began rolling off the line after conversion work carried out during ongoing production.</x:t>
        </x:is>
      </x:c>
      <x:c r="E5" s="420" t="inlineStr">
        <x:is>
          <x:t xml:space="preserve">S5</x:t>
        </x:is>
      </x:c>
      <x:c r="F5" s="420" t="inlineStr">
        <x:is>
          <x:t xml:space="preserve">Live-plant conversion</x:t>
        </x:is>
      </x:c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48" customHeight="1">
      <x:c r="A6" s="419" t="inlineStr">
        <x:is>
          <x:t xml:space="preserve">1 Jul 2026</x:t>
        </x:is>
      </x:c>
      <x:c r="B6" s="419" t="inlineStr">
        <x:is>
          <x:t xml:space="preserve">Technology rollout</x:t>
        </x:is>
      </x:c>
      <x:c r="C6" s="419" t="inlineStr">
        <x:is>
          <x:t xml:space="preserve">Dingolfing</x:t>
        </x:is>
      </x:c>
      <x:c r="D6" s="419" t="inlineStr">
        <x:is>
          <x:t xml:space="preserve">New BMW 7 Series enters series production with Neue Klasse technologies integrated into an established multi-drivetrain plant.</x:t>
        </x:is>
      </x:c>
      <x:c r="E6" s="419" t="inlineStr">
        <x:is>
          <x:t xml:space="preserve">S7</x:t>
        </x:is>
      </x:c>
      <x:c r="F6" s="419" t="inlineStr">
        <x:is>
          <x:t xml:space="preserve">Technology diffusion</x:t>
        </x:is>
      </x:c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48" customHeight="1">
      <x:c r="A7" s="420" t="inlineStr">
        <x:is>
          <x:t xml:space="preserve">6 Aug 2026</x:t>
        </x:is>
      </x:c>
      <x:c r="B7" s="420" t="inlineStr">
        <x:is>
          <x:t xml:space="preserve">Series launch</x:t>
        </x:is>
      </x:c>
      <x:c r="C7" s="420" t="inlineStr">
        <x:is>
          <x:t xml:space="preserve">Munich</x:t>
        </x:is>
      </x:c>
      <x:c r="D7" s="420" t="inlineStr">
        <x:is>
          <x:t xml:space="preserve">BMW i3 enters series production; from 2027 Munich will exclusively produce fully electric vehicles.</x:t>
        </x:is>
      </x:c>
      <x:c r="E7" s="420" t="inlineStr">
        <x:is>
          <x:t xml:space="preserve">S6</x:t>
        </x:is>
      </x:c>
      <x:c r="F7" s="420" t="inlineStr">
        <x:is>
          <x:t xml:space="preserve">BEV-only transition path</x:t>
        </x:is>
      </x:c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48" customHeight="1">
      <x:c r="A8" s="419" t="inlineStr">
        <x:is>
          <x:t xml:space="preserve">2026</x:t>
        </x:is>
      </x:c>
      <x:c r="B8" s="419" t="inlineStr">
        <x:is>
          <x:t xml:space="preserve">Regional rollout</x:t>
        </x:is>
      </x:c>
      <x:c r="C8" s="419" t="inlineStr">
        <x:is>
          <x:t xml:space="preserve">Shenyang</x:t>
        </x:is>
      </x:c>
      <x:c r="D8" s="419" t="inlineStr">
        <x:is>
          <x:t xml:space="preserve">China-specific Neue Klasse iX3 rollout is planned for the Chinese market; public material treats the China rollout as a regional production programme.</x:t>
        </x:is>
      </x:c>
      <x:c r="E8" s="419" t="inlineStr">
        <x:is>
          <x:t xml:space="preserve">S14</x:t>
        </x:is>
      </x:c>
      <x:c r="F8" s="419" t="inlineStr">
        <x:is>
          <x:t xml:space="preserve">Regional localisation</x:t>
        </x:is>
      </x:c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48" customHeight="1">
      <x:c r="A9" s="420" t="inlineStr">
        <x:is>
          <x:t xml:space="preserve">Before end-2026</x:t>
        </x:is>
      </x:c>
      <x:c r="B9" s="420" t="inlineStr">
        <x:is>
          <x:t xml:space="preserve">Planned</x:t>
        </x:is>
      </x:c>
      <x:c r="C9" s="420" t="inlineStr">
        <x:is>
          <x:t xml:space="preserve">Spartanburg / Woodruff</x:t>
        </x:is>
      </x:c>
      <x:c r="D9" s="420" t="inlineStr">
        <x:is>
          <x:t xml:space="preserve">BMW planned U.S. iX5 assembly before the end of 2026; Woodruff supports local high-voltage battery assembly.</x:t>
        </x:is>
      </x:c>
      <x:c r="E9" s="420" t="inlineStr">
        <x:is>
          <x:t xml:space="preserve">S12; S13</x:t>
        </x:is>
      </x:c>
      <x:c r="F9" s="420" t="inlineStr">
        <x:is>
          <x:t xml:space="preserve">Flex hub adds BEV / battery coupling</x:t>
        </x:is>
      </x:c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48" customHeight="1">
      <x:c r="A10" s="419" t="inlineStr">
        <x:is>
          <x:t xml:space="preserve">2027</x:t>
        </x:is>
      </x:c>
      <x:c r="B10" s="419" t="inlineStr">
        <x:is>
          <x:t xml:space="preserve">Planned</x:t>
        </x:is>
      </x:c>
      <x:c r="C10" s="419" t="inlineStr">
        <x:is>
          <x:t xml:space="preserve">San Luis Potosí</x:t>
        </x:is>
      </x:c>
      <x:c r="D10" s="419" t="inlineStr">
        <x:is>
          <x:t xml:space="preserve">Neue Klasse production planned from 2027, supported by local battery assembly.</x:t>
        </x:is>
      </x:c>
      <x:c r="E10" s="419" t="inlineStr">
        <x:is>
          <x:t xml:space="preserve">S15; S9</x:t>
        </x:is>
      </x:c>
      <x:c r="F10" s="419" t="inlineStr">
        <x:is>
          <x:t xml:space="preserve">Future regional BEV node</x:t>
        </x:is>
      </x:c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48" customHeight="1">
      <x:c r="A11" s="420" t="inlineStr">
        <x:is>
          <x:t xml:space="preserve">2027</x:t>
        </x:is>
      </x:c>
      <x:c r="B11" s="420" t="inlineStr">
        <x:is>
          <x:t xml:space="preserve">Planned</x:t>
        </x:is>
      </x:c>
      <x:c r="C11" s="420" t="inlineStr">
        <x:is>
          <x:t xml:space="preserve">Munich</x:t>
        </x:is>
      </x:c>
      <x:c r="D11" s="420" t="inlineStr">
        <x:is>
          <x:t xml:space="preserve">BMW states Plant Munich will exclusively produce fully electric vehicles from 2027.</x:t>
        </x:is>
      </x:c>
      <x:c r="E11" s="420" t="inlineStr">
        <x:is>
          <x:t xml:space="preserve">S6</x:t>
        </x:is>
      </x:c>
      <x:c r="F11" s="420" t="inlineStr">
        <x:is>
          <x:t xml:space="preserve">Dedicated BEV operating model</x:t>
        </x:is>
      </x:c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42" customHeight="1">
      <x:c r="A12" s="190" t="n"/>
      <x:c r="B12" s="190" t="n"/>
      <x:c r="C12" s="190" t="n"/>
      <x:c r="D12" s="190" t="n"/>
      <x:c r="E12" s="190" t="n"/>
      <x:c r="F12" s="190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42" customHeight="1">
      <x:c r="A13" s="184" t="n"/>
      <x:c r="B13" s="184" t="n"/>
      <x:c r="C13" s="184" t="n"/>
      <x:c r="D13" s="184" t="n"/>
      <x:c r="E13" s="184" t="n"/>
      <x:c r="F13" s="184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42" customHeight="1">
      <x:c r="A14" s="190" t="n"/>
      <x:c r="B14" s="190" t="n"/>
      <x:c r="C14" s="190" t="n"/>
      <x:c r="D14" s="190" t="n"/>
      <x:c r="E14" s="190" t="n"/>
      <x:c r="F14" s="190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>
      <x:c r="A15" s="113" t="n"/>
      <x:c r="B15" s="113" t="n"/>
      <x:c r="C15" s="113" t="n"/>
      <x:c r="D15" s="113" t="n"/>
      <x:c r="E15" s="113" t="n"/>
      <x:c r="F15" s="113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113" t="n"/>
      <x:c r="B16" s="113" t="n"/>
      <x:c r="C16" s="113" t="n"/>
      <x:c r="D16" s="113" t="n"/>
      <x:c r="E16" s="113" t="n"/>
      <x:c r="F16" s="113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113" t="n"/>
      <x:c r="B17" s="113" t="n"/>
      <x:c r="C17" s="113" t="n"/>
      <x:c r="D17" s="113" t="n"/>
      <x:c r="E17" s="113" t="n"/>
      <x:c r="F17" s="113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113" t="n"/>
      <x:c r="B18" s="113" t="n"/>
      <x:c r="C18" s="113" t="n"/>
      <x:c r="D18" s="113" t="n"/>
      <x:c r="E18" s="113" t="n"/>
      <x:c r="F18" s="113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113" t="n"/>
      <x:c r="B19" s="113" t="n"/>
      <x:c r="C19" s="113" t="n"/>
      <x:c r="D19" s="113" t="n"/>
      <x:c r="E19" s="113" t="n"/>
      <x:c r="F19" s="113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113" t="n"/>
      <x:c r="B20" s="113" t="n"/>
      <x:c r="C20" s="113" t="n"/>
      <x:c r="D20" s="113" t="n"/>
      <x:c r="E20" s="113" t="n"/>
      <x:c r="F20" s="113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113" t="n"/>
      <x:c r="F21" s="113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113" t="n"/>
      <x:c r="F22" s="113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113" t="n"/>
      <x:c r="F23" s="113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113" t="n"/>
      <x:c r="F24" s="113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113" t="n"/>
      <x:c r="F25" s="113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113" t="n"/>
      <x:c r="F26" s="113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113" t="n"/>
      <x:c r="F27" s="113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113" t="n"/>
      <x:c r="F28" s="113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113" t="n"/>
      <x:c r="F29" s="113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113" t="n"/>
      <x:c r="F30" s="113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113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113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113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113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113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113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113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113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113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113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113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113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113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113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113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113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113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113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113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113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113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113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113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113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113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113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113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113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113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113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113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113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113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113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113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113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113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113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113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113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113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113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113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113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113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113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113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113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113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113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113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113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113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113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113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113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113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113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113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113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113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113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113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113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113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113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113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113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113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tableParts count="1">
    <x:tablePart xmlns:r="http://schemas.openxmlformats.org/officeDocument/2006/relationships" r:id="R5f00824f212f4e1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style="62" customWidth="1"/>
    <x:col min="2" max="2" width="14" style="62" customWidth="1"/>
    <x:col min="3" max="3" width="27" style="62" customWidth="1"/>
    <x:col min="4" max="4" width="52" style="62" customWidth="1"/>
    <x:col min="5" max="5" width="24" style="62" customWidth="1"/>
    <x:col min="6" max="6" width="14" style="62" customWidth="1"/>
    <x:col min="7" max="7" width="32" style="62" customWidth="1"/>
  </x:cols>
  <x:sheetData>
    <x:row r="1" s="62" customFormat="1" ht="34" customHeight="1">
      <x:c r="A1" s="411" t="inlineStr">
        <x:is>
          <x:t xml:space="preserve">Battery site</x:t>
        </x:is>
      </x:c>
      <x:c r="B1" s="411" t="inlineStr">
        <x:is>
          <x:t xml:space="preserve">Country</x:t>
        </x:is>
      </x:c>
      <x:c r="C1" s="411" t="inlineStr">
        <x:is>
          <x:t xml:space="preserve">Relationship to vehicle plant</x:t>
        </x:is>
      </x:c>
      <x:c r="D1" s="411" t="inlineStr">
        <x:is>
          <x:t xml:space="preserve">Evidence</x:t>
        </x:is>
      </x:c>
      <x:c r="E1" s="411" t="inlineStr">
        <x:is>
          <x:t xml:space="preserve">Primary vehicle-network role</x:t>
        </x:is>
      </x:c>
      <x:c r="F1" s="411" t="inlineStr">
        <x:is>
          <x:t xml:space="preserve">Source</x:t>
        </x:is>
      </x:c>
      <x:c r="G1" s="411" t="inlineStr">
        <x:is>
          <x:t xml:space="preserve">Status at 10 Aug 2026</x:t>
        </x:is>
      </x:c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56" customHeight="1">
      <x:c r="A2" s="419" t="inlineStr">
        <x:is>
          <x:t xml:space="preserve">Debrecen</x:t>
        </x:is>
      </x:c>
      <x:c r="B2" s="419" t="inlineStr">
        <x:is>
          <x:t xml:space="preserve">Hungary</x:t>
        </x:is>
      </x:c>
      <x:c r="C2" s="419" t="inlineStr">
        <x:is>
          <x:t xml:space="preserve">On-site</x:t>
        </x:is>
      </x:c>
      <x:c r="D2" s="419" t="inlineStr">
        <x:is>
          <x:t xml:space="preserve">Vehicle and Gen6 battery series production start associated with the first Neue Klasse production site.</x:t>
        </x:is>
      </x:c>
      <x:c r="E2" s="419" t="inlineStr">
        <x:is>
          <x:t xml:space="preserve">BEV</x:t>
        </x:is>
      </x:c>
      <x:c r="F2" s="419" t="inlineStr">
        <x:is>
          <x:t xml:space="preserve">S3; S4</x:t>
        </x:is>
      </x:c>
      <x:c r="G2" s="419" t="inlineStr">
        <x:is>
          <x:t xml:space="preserve">Operating; Gen6 assembly on site</x:t>
        </x:is>
      </x:c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56" customHeight="1">
      <x:c r="A3" s="420" t="inlineStr">
        <x:is>
          <x:t xml:space="preserve">Irlbach-Strasskirchen</x:t>
        </x:is>
      </x:c>
      <x:c r="B3" s="420" t="inlineStr">
        <x:is>
          <x:t xml:space="preserve">Germany</x:t>
        </x:is>
      </x:c>
      <x:c r="C3" s="420" t="inlineStr">
        <x:is>
          <x:t xml:space="preserve">Near German vehicle network</x:t>
        </x:is>
      </x:c>
      <x:c r="D3" s="420" t="inlineStr">
        <x:is>
          <x:t xml:space="preserve">Gen6 battery series production planned for H2 2026 to supply German plants.</x:t>
        </x:is>
      </x:c>
      <x:c r="E3" s="420" t="inlineStr">
        <x:is>
          <x:t xml:space="preserve">German vehicle network</x:t>
        </x:is>
      </x:c>
      <x:c r="F3" s="420" t="inlineStr">
        <x:is>
          <x:t xml:space="preserve">S9</x:t>
        </x:is>
      </x:c>
      <x:c r="G3" s="420" t="inlineStr">
        <x:is>
          <x:t xml:space="preserve">Planned; H2 2026 series-production target</x:t>
        </x:is>
      </x:c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56" customHeight="1">
      <x:c r="A4" s="419" t="inlineStr">
        <x:is>
          <x:t xml:space="preserve">Woodruff</x:t>
        </x:is>
      </x:c>
      <x:c r="B4" s="419" t="inlineStr">
        <x:is>
          <x:t xml:space="preserve">USA</x:t>
        </x:is>
      </x:c>
      <x:c r="C4" s="419" t="inlineStr">
        <x:is>
          <x:t xml:space="preserve">Near Spartanburg</x:t>
        </x:is>
      </x:c>
      <x:c r="D4" s="419" t="inlineStr">
        <x:is>
          <x:t xml:space="preserve">Gen6 battery assembly for U.S. BEV production; series production planned for Dec 2026.</x:t>
        </x:is>
      </x:c>
      <x:c r="E4" s="419" t="inlineStr">
        <x:is>
          <x:t xml:space="preserve">Spartanburg</x:t>
        </x:is>
      </x:c>
      <x:c r="F4" s="419" t="inlineStr">
        <x:is>
          <x:t xml:space="preserve">S12; S13</x:t>
        </x:is>
      </x:c>
      <x:c r="G4" s="419" t="inlineStr">
        <x:is>
          <x:t xml:space="preserve">Planned; series production scheduled Dec 2026</x:t>
        </x:is>
      </x:c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56" customHeight="1">
      <x:c r="A5" s="420" t="inlineStr">
        <x:is>
          <x:t xml:space="preserve">Shenyang</x:t>
        </x:is>
      </x:c>
      <x:c r="B5" s="420" t="inlineStr">
        <x:is>
          <x:t xml:space="preserve">China</x:t>
        </x:is>
      </x:c>
      <x:c r="C5" s="420" t="inlineStr">
        <x:is>
          <x:t xml:space="preserve">Local</x:t>
        </x:is>
      </x:c>
      <x:c r="D5" s="420" t="inlineStr">
        <x:is>
          <x:t xml:space="preserve">Gen6 battery manufacturing for China Neue Klasse production.</x:t>
        </x:is>
      </x:c>
      <x:c r="E5" s="420" t="inlineStr">
        <x:is>
          <x:t xml:space="preserve">Shenyang</x:t>
        </x:is>
      </x:c>
      <x:c r="F5" s="420" t="inlineStr">
        <x:is>
          <x:t xml:space="preserve">S9; S14</x:t>
        </x:is>
      </x:c>
      <x:c r="G5" s="420" t="inlineStr">
        <x:is>
          <x:t xml:space="preserve">Planned/local battery network</x:t>
        </x:is>
      </x:c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56" customHeight="1">
      <x:c r="A6" s="419" t="inlineStr">
        <x:is>
          <x:t xml:space="preserve">San Luis Potosí</x:t>
        </x:is>
      </x:c>
      <x:c r="B6" s="419" t="inlineStr">
        <x:is>
          <x:t xml:space="preserve">Mexico</x:t>
        </x:is>
      </x:c>
      <x:c r="C6" s="419" t="inlineStr">
        <x:is>
          <x:t xml:space="preserve">On-site / planned</x:t>
        </x:is>
      </x:c>
      <x:c r="D6" s="419" t="inlineStr">
        <x:is>
          <x:t xml:space="preserve">Local high-voltage battery assembly planned for Neue Klasse production.</x:t>
        </x:is>
      </x:c>
      <x:c r="E6" s="419" t="inlineStr">
        <x:is>
          <x:t xml:space="preserve">San Luis Potosí</x:t>
        </x:is>
      </x:c>
      <x:c r="F6" s="419" t="inlineStr">
        <x:is>
          <x:t xml:space="preserve">S9; S15</x:t>
        </x:is>
      </x:c>
      <x:c r="G6" s="419" t="inlineStr">
        <x:is>
          <x:t xml:space="preserve">Planned / under development</x:t>
        </x:is>
      </x:c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>
      <x:c r="A7" s="113" t="n"/>
      <x:c r="B7" s="113" t="n"/>
      <x:c r="C7" s="113" t="n"/>
      <x:c r="D7" s="113" t="n"/>
      <x:c r="E7" s="113" t="n"/>
      <x:c r="F7" s="113" t="n"/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>
      <x:c r="A8" s="113" t="n"/>
      <x:c r="B8" s="113" t="n"/>
      <x:c r="C8" s="113" t="n"/>
      <x:c r="D8" s="113" t="n"/>
      <x:c r="E8" s="113" t="n"/>
      <x:c r="F8" s="113" t="n"/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>
      <x:c r="A9" s="113" t="n"/>
      <x:c r="B9" s="113" t="n"/>
      <x:c r="C9" s="113" t="n"/>
      <x:c r="D9" s="113" t="n"/>
      <x:c r="E9" s="113" t="n"/>
      <x:c r="F9" s="113" t="n"/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>
      <x:c r="A10" s="113" t="n"/>
      <x:c r="B10" s="113" t="n"/>
      <x:c r="C10" s="113" t="n"/>
      <x:c r="D10" s="113" t="n"/>
      <x:c r="E10" s="113" t="n"/>
      <x:c r="F10" s="113" t="n"/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>
      <x:c r="A11" s="113" t="n"/>
      <x:c r="B11" s="113" t="n"/>
      <x:c r="C11" s="113" t="n"/>
      <x:c r="D11" s="113" t="n"/>
      <x:c r="E11" s="113" t="n"/>
      <x:c r="F11" s="113" t="n"/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>
      <x:c r="A12" s="113" t="n"/>
      <x:c r="B12" s="113" t="n"/>
      <x:c r="C12" s="113" t="n"/>
      <x:c r="D12" s="113" t="n"/>
      <x:c r="E12" s="113" t="n"/>
      <x:c r="F12" s="113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>
      <x:c r="A13" s="113" t="n"/>
      <x:c r="B13" s="113" t="n"/>
      <x:c r="C13" s="113" t="n"/>
      <x:c r="D13" s="113" t="n"/>
      <x:c r="E13" s="113" t="n"/>
      <x:c r="F13" s="113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>
      <x:c r="A14" s="113" t="n"/>
      <x:c r="B14" s="113" t="n"/>
      <x:c r="C14" s="113" t="n"/>
      <x:c r="D14" s="113" t="n"/>
      <x:c r="E14" s="113" t="n"/>
      <x:c r="F14" s="113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>
      <x:c r="A15" s="113" t="n"/>
      <x:c r="B15" s="113" t="n"/>
      <x:c r="C15" s="113" t="n"/>
      <x:c r="D15" s="113" t="n"/>
      <x:c r="E15" s="113" t="n"/>
      <x:c r="F15" s="113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113" t="n"/>
      <x:c r="B16" s="113" t="n"/>
      <x:c r="C16" s="113" t="n"/>
      <x:c r="D16" s="113" t="n"/>
      <x:c r="E16" s="113" t="n"/>
      <x:c r="F16" s="113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113" t="n"/>
      <x:c r="B17" s="113" t="n"/>
      <x:c r="C17" s="113" t="n"/>
      <x:c r="D17" s="113" t="n"/>
      <x:c r="E17" s="113" t="n"/>
      <x:c r="F17" s="113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113" t="n"/>
      <x:c r="B18" s="113" t="n"/>
      <x:c r="C18" s="113" t="n"/>
      <x:c r="D18" s="113" t="n"/>
      <x:c r="E18" s="113" t="n"/>
      <x:c r="F18" s="113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113" t="n"/>
      <x:c r="B19" s="113" t="n"/>
      <x:c r="C19" s="113" t="n"/>
      <x:c r="D19" s="113" t="n"/>
      <x:c r="E19" s="113" t="n"/>
      <x:c r="F19" s="113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113" t="n"/>
      <x:c r="B20" s="113" t="n"/>
      <x:c r="C20" s="113" t="n"/>
      <x:c r="D20" s="113" t="n"/>
      <x:c r="E20" s="113" t="n"/>
      <x:c r="F20" s="113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113" t="n"/>
      <x:c r="F21" s="113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113" t="n"/>
      <x:c r="F22" s="113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113" t="n"/>
      <x:c r="F23" s="113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113" t="n"/>
      <x:c r="F24" s="113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113" t="n"/>
      <x:c r="F25" s="113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113" t="n"/>
      <x:c r="F26" s="113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113" t="n"/>
      <x:c r="F27" s="113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113" t="n"/>
      <x:c r="F28" s="113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113" t="n"/>
      <x:c r="F29" s="113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113" t="n"/>
      <x:c r="F30" s="113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113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113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113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113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113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113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113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113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113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113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113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113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113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113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113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113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113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113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113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113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113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113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113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113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113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113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113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113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113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113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113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113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113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113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113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113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113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113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113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113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113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113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113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113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113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113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113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113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113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113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113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113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113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113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113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113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113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113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113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113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113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113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113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113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113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113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113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113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113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tableParts count="1">
    <x:tablePart xmlns:r="http://schemas.openxmlformats.org/officeDocument/2006/relationships" r:id="Rae541db5594244b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style="62" customWidth="1"/>
    <x:col min="2" max="2" width="17" style="62" customWidth="1"/>
    <x:col min="3" max="3" width="18" style="62" customWidth="1"/>
    <x:col min="4" max="4" width="18" style="62" customWidth="1"/>
    <x:col min="5" max="5" width="28" style="62" customWidth="1"/>
    <x:col min="6" max="6" width="9" style="62" customWidth="1"/>
    <x:col min="8" max="8" width="42" style="62" customWidth="1"/>
    <x:col min="9" max="9" width="16" style="62" customWidth="1"/>
    <x:col min="10" max="10" width="16" style="62" customWidth="1"/>
  </x:cols>
  <x:sheetData>
    <x:row r="1" s="62" customFormat="1" ht="30" customHeight="1">
      <x:c r="A1" s="411" t="inlineStr">
        <x:is>
          <x:t xml:space="preserve">Metric</x:t>
        </x:is>
      </x:c>
      <x:c r="B1" s="411" t="inlineStr">
        <x:is>
          <x:t xml:space="preserve">Unit</x:t>
        </x:is>
      </x:c>
      <x:c r="C1" s="411" t="inlineStr">
        <x:is>
          <x:t xml:space="preserve">H1 2026 / Jun 2026</x:t>
        </x:is>
      </x:c>
      <x:c r="D1" s="411" t="inlineStr">
        <x:is>
          <x:t xml:space="preserve">H1 2025 / Dec 2025</x:t>
        </x:is>
      </x:c>
      <x:c r="E1" s="411" t="inlineStr">
        <x:is>
          <x:t xml:space="preserve">Context</x:t>
        </x:is>
      </x:c>
      <x:c r="F1" s="411" t="inlineStr">
        <x:is>
          <x:t xml:space="preserve">Source</x:t>
        </x:is>
      </x:c>
      <x:c r="G1" s="399" t="n"/>
      <x:c r="H1" s="411" t="inlineStr">
        <x:is>
          <x:t xml:space="preserve">Supporting inputs</x:t>
        </x:is>
      </x:c>
      <x:c r="I1" s="411" t="inlineStr">
        <x:is>
          <x:t xml:space="preserve">Value</x:t>
        </x:is>
      </x:c>
      <x:c r="J1" s="411" t="inlineStr">
        <x:is>
          <x:t xml:space="preserve">Source</x:t>
        </x:is>
      </x:c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30" customHeight="1">
      <x:c r="A2" s="447" t="inlineStr">
        <x:is>
          <x:t xml:space="preserve">Automotive deliveries</x:t>
        </x:is>
      </x:c>
      <x:c r="B2" s="447" t="inlineStr">
        <x:is>
          <x:t xml:space="preserve">units</x:t>
        </x:is>
      </x:c>
      <x:c r="C2" s="536" t="n">
        <x:v>1156727</x:v>
      </x:c>
      <x:c r="D2" s="536" t="n">
        <x:v>1207594</x:v>
      </x:c>
      <x:c r="E2" s="447" t="inlineStr">
        <x:is>
          <x:t xml:space="preserve">H1 2026 vs H1 2025</x:t>
        </x:is>
      </x:c>
      <x:c r="F2" s="447" t="inlineStr">
        <x:is>
          <x:t xml:space="preserve">S10</x:t>
        </x:is>
      </x:c>
      <x:c r="G2" s="450" t="n"/>
      <x:c r="H2" s="427" t="inlineStr">
        <x:is>
          <x:t xml:space="preserve">H1 2026 Automotive cost of sales, €m</x:t>
        </x:is>
      </x:c>
      <x:c r="I2" s="537" t="n">
        <x:v>48506</x:v>
      </x:c>
      <x:c r="J2" s="427" t="inlineStr">
        <x:is>
          <x:t xml:space="preserve">S10</x:t>
        </x:is>
      </x:c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30" customHeight="1">
      <x:c r="A3" s="450" t="inlineStr">
        <x:is>
          <x:t xml:space="preserve">Automotive production volume</x:t>
        </x:is>
      </x:c>
      <x:c r="B3" s="450" t="inlineStr">
        <x:is>
          <x:t xml:space="preserve">units</x:t>
        </x:is>
      </x:c>
      <x:c r="C3" s="538" t="n">
        <x:v>1267511</x:v>
      </x:c>
      <x:c r="D3" s="538" t="n">
        <x:v>1238608</x:v>
      </x:c>
      <x:c r="E3" s="450" t="inlineStr">
        <x:is>
          <x:t xml:space="preserve">H1 2026 vs H1 2025</x:t>
        </x:is>
      </x:c>
      <x:c r="F3" s="450" t="inlineStr">
        <x:is>
          <x:t xml:space="preserve">S10</x:t>
        </x:is>
      </x:c>
      <x:c r="G3" s="450" t="n"/>
      <x:c r="H3" s="427" t="inlineStr">
        <x:is>
          <x:t xml:space="preserve">FY2025 Automotive cost of sales, €m</x:t>
        </x:is>
      </x:c>
      <x:c r="I3" s="537" t="n">
        <x:v>103206</x:v>
      </x:c>
      <x:c r="J3" s="427" t="inlineStr">
        <x:is>
          <x:t xml:space="preserve">S1</x:t>
        </x:is>
      </x:c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30" customHeight="1">
      <x:c r="A4" s="447" t="inlineStr">
        <x:is>
          <x:t xml:space="preserve">Production less deliveries</x:t>
        </x:is>
      </x:c>
      <x:c r="B4" s="447" t="inlineStr">
        <x:is>
          <x:t xml:space="preserve">units</x:t>
        </x:is>
      </x:c>
      <x:c r="C4" s="536" t="n">
        <x:f>C3-C2</x:f>
        <x:v>110784</x:v>
      </x:c>
      <x:c r="D4" s="536" t="n">
        <x:f>D3-D2</x:f>
        <x:v>31014</x:v>
      </x:c>
      <x:c r="E4" s="447" t="inlineStr">
        <x:is>
          <x:t xml:space="preserve">Project calculation</x:t>
        </x:is>
      </x:c>
      <x:c r="F4" s="447" t="inlineStr">
        <x:is>
          <x:t xml:space="preserve">S10</x:t>
        </x:is>
      </x:c>
      <x:c r="G4" s="450" t="n"/>
      <x:c r="H4" s="427" t="inlineStr">
        <x:is>
          <x:t xml:space="preserve">Automotive inventory at 31 Dec 2024, €m</x:t>
        </x:is>
      </x:c>
      <x:c r="I4" s="537" t="n">
        <x:v>22372</x:v>
      </x:c>
      <x:c r="J4" s="427" t="inlineStr">
        <x:is>
          <x:t xml:space="preserve">S1</x:t>
        </x:is>
      </x:c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30" customHeight="1">
      <x:c r="A5" s="450" t="inlineStr">
        <x:is>
          <x:t xml:space="preserve">Automotive revenue</x:t>
        </x:is>
      </x:c>
      <x:c r="B5" s="450" t="inlineStr">
        <x:is>
          <x:t xml:space="preserve">€ million</x:t>
        </x:is>
      </x:c>
      <x:c r="C5" s="539" t="n">
        <x:v>54321</x:v>
      </x:c>
      <x:c r="D5" s="539" t="n">
        <x:v>58654</x:v>
      </x:c>
      <x:c r="E5" s="450" t="inlineStr">
        <x:is>
          <x:t xml:space="preserve">Reported</x:t>
        </x:is>
      </x:c>
      <x:c r="F5" s="450" t="inlineStr">
        <x:is>
          <x:t xml:space="preserve">S10</x:t>
        </x:is>
      </x:c>
      <x:c r="G5" s="450" t="n"/>
      <x:c r="H5" s="427" t="inlineStr">
        <x:is>
          <x:t xml:space="preserve">H1 annualisation factor</x:t>
        </x:is>
      </x:c>
      <x:c r="I5" s="540" t="n">
        <x:v>2</x:v>
      </x:c>
      <x:c r="J5" s="427" t="inlineStr">
        <x:is>
          <x:t xml:space="preserve">Project method</x:t>
        </x:is>
      </x:c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30" customHeight="1">
      <x:c r="A6" s="447" t="inlineStr">
        <x:is>
          <x:t xml:space="preserve">Automotive EBIT</x:t>
        </x:is>
      </x:c>
      <x:c r="B6" s="447" t="inlineStr">
        <x:is>
          <x:t xml:space="preserve">€ million</x:t>
        </x:is>
      </x:c>
      <x:c r="C6" s="541" t="n">
        <x:v>1974</x:v>
      </x:c>
      <x:c r="D6" s="541" t="n">
        <x:v>3626</x:v>
      </x:c>
      <x:c r="E6" s="447" t="inlineStr">
        <x:is>
          <x:t xml:space="preserve">Reported</x:t>
        </x:is>
      </x:c>
      <x:c r="F6" s="447" t="inlineStr">
        <x:is>
          <x:t xml:space="preserve">S10</x:t>
        </x:is>
      </x:c>
      <x:c r="G6" s="450" t="n"/>
      <x:c r="H6" s="427" t="inlineStr">
        <x:is>
          <x:t xml:space="preserve">Calendar days</x:t>
        </x:is>
      </x:c>
      <x:c r="I6" s="540" t="n">
        <x:v>365</x:v>
      </x:c>
      <x:c r="J6" s="427" t="inlineStr">
        <x:is>
          <x:t xml:space="preserve">Project method</x:t>
        </x:is>
      </x:c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30" customHeight="1">
      <x:c r="A7" s="450" t="inlineStr">
        <x:is>
          <x:t xml:space="preserve">Automotive EBIT margin</x:t>
        </x:is>
      </x:c>
      <x:c r="B7" s="450" t="inlineStr">
        <x:is>
          <x:t xml:space="preserve">%</x:t>
        </x:is>
      </x:c>
      <x:c r="C7" s="542" t="n">
        <x:v>0.036</x:v>
      </x:c>
      <x:c r="D7" s="542" t="n">
        <x:v>0.062</x:v>
      </x:c>
      <x:c r="E7" s="450" t="inlineStr">
        <x:is>
          <x:t xml:space="preserve">Reported</x:t>
        </x:is>
      </x:c>
      <x:c r="F7" s="450" t="inlineStr">
        <x:is>
          <x:t xml:space="preserve">S10</x:t>
        </x:is>
      </x:c>
      <x:c r="G7" s="450" t="n"/>
      <x:c r="H7" s="450" t="n"/>
      <x:c r="I7" s="450" t="n"/>
      <x:c r="J7" s="450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30" customHeight="1">
      <x:c r="A8" s="447" t="inlineStr">
        <x:is>
          <x:t xml:space="preserve">Automotive free cash flow</x:t>
        </x:is>
      </x:c>
      <x:c r="B8" s="447" t="inlineStr">
        <x:is>
          <x:t xml:space="preserve">€ million</x:t>
        </x:is>
      </x:c>
      <x:c r="C8" s="541" t="n">
        <x:v>1290</x:v>
      </x:c>
      <x:c r="D8" s="541" t="n">
        <x:v>2345</x:v>
      </x:c>
      <x:c r="E8" s="447" t="inlineStr">
        <x:is>
          <x:t xml:space="preserve">Reported; includes full BMW reconciliation</x:t>
        </x:is>
      </x:c>
      <x:c r="F8" s="447" t="inlineStr">
        <x:is>
          <x:t xml:space="preserve">S10</x:t>
        </x:is>
      </x:c>
      <x:c r="G8" s="450" t="n"/>
      <x:c r="H8" s="450" t="n"/>
      <x:c r="I8" s="450" t="n"/>
      <x:c r="J8" s="450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30" customHeight="1">
      <x:c r="A9" s="450" t="inlineStr">
        <x:is>
          <x:t xml:space="preserve">Cash flow from operating activities</x:t>
        </x:is>
      </x:c>
      <x:c r="B9" s="450" t="inlineStr">
        <x:is>
          <x:t xml:space="preserve">€ million</x:t>
        </x:is>
      </x:c>
      <x:c r="C9" s="539" t="n">
        <x:v>4786</x:v>
      </x:c>
      <x:c r="D9" s="539" t="n">
        <x:v>7292</x:v>
      </x:c>
      <x:c r="E9" s="450" t="inlineStr">
        <x:is>
          <x:t xml:space="preserve">Reported</x:t>
        </x:is>
      </x:c>
      <x:c r="F9" s="450" t="inlineStr">
        <x:is>
          <x:t xml:space="preserve">S10</x:t>
        </x:is>
      </x:c>
      <x:c r="G9" s="450" t="n"/>
      <x:c r="H9" s="450" t="n"/>
      <x:c r="I9" s="450" t="n"/>
      <x:c r="J9" s="450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30" customHeight="1">
      <x:c r="A10" s="447" t="inlineStr">
        <x:is>
          <x:t xml:space="preserve">Cash flow from investing activities</x:t>
        </x:is>
      </x:c>
      <x:c r="B10" s="447" t="inlineStr">
        <x:is>
          <x:t xml:space="preserve">€ million</x:t>
        </x:is>
      </x:c>
      <x:c r="C10" s="541" t="n">
        <x:v>-3310</x:v>
      </x:c>
      <x:c r="D10" s="541" t="n">
        <x:v>-4557</x:v>
      </x:c>
      <x:c r="E10" s="447" t="inlineStr">
        <x:is>
          <x:t xml:space="preserve">Reported</x:t>
        </x:is>
      </x:c>
      <x:c r="F10" s="447" t="inlineStr">
        <x:is>
          <x:t xml:space="preserve">S10</x:t>
        </x:is>
      </x:c>
      <x:c r="G10" s="450" t="n"/>
      <x:c r="H10" s="450" t="n"/>
      <x:c r="I10" s="450" t="n"/>
      <x:c r="J10" s="450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30" customHeight="1">
      <x:c r="A11" s="450" t="inlineStr">
        <x:is>
          <x:t xml:space="preserve">FCF adjustment: net investment in marketable securities and investment funds</x:t>
        </x:is>
      </x:c>
      <x:c r="B11" s="450" t="inlineStr">
        <x:is>
          <x:t xml:space="preserve">€ million</x:t>
        </x:is>
      </x:c>
      <x:c r="C11" s="539" t="n">
        <x:v>-186</x:v>
      </x:c>
      <x:c r="D11" s="539" t="n">
        <x:v>-390</x:v>
      </x:c>
      <x:c r="E11" s="450" t="inlineStr">
        <x:is>
          <x:t xml:space="preserve">Reported</x:t>
        </x:is>
      </x:c>
      <x:c r="F11" s="450" t="inlineStr">
        <x:is>
          <x:t xml:space="preserve">S10</x:t>
        </x:is>
      </x:c>
      <x:c r="G11" s="450" t="n"/>
      <x:c r="H11" s="450" t="n"/>
      <x:c r="I11" s="450" t="n"/>
      <x:c r="J11" s="450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30" customHeight="1">
      <x:c r="A12" s="447" t="inlineStr">
        <x:is>
          <x:t xml:space="preserve">Change in working capital</x:t>
        </x:is>
      </x:c>
      <x:c r="B12" s="447" t="inlineStr">
        <x:is>
          <x:t xml:space="preserve">€ million</x:t>
        </x:is>
      </x:c>
      <x:c r="C12" s="541" t="n">
        <x:v>-1858</x:v>
      </x:c>
      <x:c r="D12" s="541" t="n">
        <x:v>-252</x:v>
      </x:c>
      <x:c r="E12" s="447" t="inlineStr">
        <x:is>
          <x:t xml:space="preserve">Reported</x:t>
        </x:is>
      </x:c>
      <x:c r="F12" s="447" t="inlineStr">
        <x:is>
          <x:t xml:space="preserve">S10</x:t>
        </x:is>
      </x:c>
      <x:c r="G12" s="450" t="n"/>
      <x:c r="H12" s="450" t="n"/>
      <x:c r="I12" s="450" t="n"/>
      <x:c r="J12" s="450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30" customHeight="1">
      <x:c r="A13" s="450" t="inlineStr">
        <x:is>
          <x:t xml:space="preserve">Automotive inventories at period end</x:t>
        </x:is>
      </x:c>
      <x:c r="B13" s="450" t="inlineStr">
        <x:is>
          <x:t xml:space="preserve">€ million</x:t>
        </x:is>
      </x:c>
      <x:c r="C13" s="539" t="n">
        <x:v>22171</x:v>
      </x:c>
      <x:c r="D13" s="539" t="n">
        <x:v>19370</x:v>
      </x:c>
      <x:c r="E13" s="450" t="inlineStr">
        <x:is>
          <x:t xml:space="preserve">30 Jun 2026 vs 31 Dec 2025</x:t>
        </x:is>
      </x:c>
      <x:c r="F13" s="450" t="inlineStr">
        <x:is>
          <x:t xml:space="preserve">S10</x:t>
        </x:is>
      </x:c>
      <x:c r="G13" s="450" t="n"/>
      <x:c r="H13" s="450" t="n"/>
      <x:c r="I13" s="450" t="n"/>
      <x:c r="J13" s="450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30" customHeight="1">
      <x:c r="A14" s="447" t="inlineStr">
        <x:is>
          <x:t xml:space="preserve">Automotive trade receivables</x:t>
        </x:is>
      </x:c>
      <x:c r="B14" s="447" t="inlineStr">
        <x:is>
          <x:t xml:space="preserve">€ million</x:t>
        </x:is>
      </x:c>
      <x:c r="C14" s="541" t="n">
        <x:v>2681</x:v>
      </x:c>
      <x:c r="D14" s="541" t="n">
        <x:v>2534</x:v>
      </x:c>
      <x:c r="E14" s="447" t="inlineStr">
        <x:is>
          <x:t xml:space="preserve">30 Jun 2026 vs 31 Dec 2025</x:t>
        </x:is>
      </x:c>
      <x:c r="F14" s="447" t="inlineStr">
        <x:is>
          <x:t xml:space="preserve">S10</x:t>
        </x:is>
      </x:c>
      <x:c r="G14" s="450" t="n"/>
      <x:c r="H14" s="450" t="n"/>
      <x:c r="I14" s="450" t="n"/>
      <x:c r="J14" s="450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30" customHeight="1">
      <x:c r="A15" s="450" t="inlineStr">
        <x:is>
          <x:t xml:space="preserve">Automotive trade payables</x:t>
        </x:is>
      </x:c>
      <x:c r="B15" s="450" t="inlineStr">
        <x:is>
          <x:t xml:space="preserve">€ million</x:t>
        </x:is>
      </x:c>
      <x:c r="C15" s="539" t="n">
        <x:v>11449</x:v>
      </x:c>
      <x:c r="D15" s="539" t="n">
        <x:v>11001</x:v>
      </x:c>
      <x:c r="E15" s="450" t="inlineStr">
        <x:is>
          <x:t xml:space="preserve">30 Jun 2026 vs 31 Dec 2025</x:t>
        </x:is>
      </x:c>
      <x:c r="F15" s="450" t="inlineStr">
        <x:is>
          <x:t xml:space="preserve">S10</x:t>
        </x:is>
      </x:c>
      <x:c r="G15" s="450" t="n"/>
      <x:c r="H15" s="450" t="n"/>
      <x:c r="I15" s="450" t="n"/>
      <x:c r="J15" s="450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 s="62" customFormat="1" ht="54" customHeight="1">
      <x:c r="A16" s="543" t="inlineStr">
        <x:is>
          <x:t xml:space="preserve">Note: inventories, trade receivables and trade payables compare 30 Jun 2026 with 31 Dec 2025; production, deliveries and P&amp;L metrics compare H1 2026 with H1 2025. The balance-sheet proxy is a project calculation and is not BMW's reported change in working capital.</x:t>
        </x:is>
      </x:c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 s="62" customFormat="1" ht="24" customHeight="1">
      <x:c r="A17" s="428" t="n"/>
      <x:c r="B17" s="428" t="n"/>
      <x:c r="C17" s="428" t="n"/>
      <x:c r="D17" s="428" t="n"/>
      <x:c r="E17" s="428" t="n"/>
      <x:c r="F17" s="428" t="n"/>
      <x:c r="G17" s="428" t="n"/>
      <x:c r="H17" s="428" t="n"/>
      <x:c r="I17" s="428" t="n"/>
      <x:c r="J17" s="450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 s="62" customFormat="1" ht="26" customHeight="1">
      <x:c r="A18" s="411" t="inlineStr">
        <x:is>
          <x:t xml:space="preserve">Project calculations</x:t>
        </x:is>
      </x:c>
      <x:c r="B18" s="411" t="inlineStr">
        <x:is>
          <x:t xml:space="preserve">Formula</x:t>
        </x:is>
      </x:c>
      <x:c r="C18" s="411" t="inlineStr">
        <x:is>
          <x:t xml:space="preserve">Reading</x:t>
        </x:is>
      </x:c>
      <x:c r="D18" s="411" t="n"/>
      <x:c r="E18" s="428" t="n"/>
      <x:c r="F18" s="428" t="n"/>
      <x:c r="G18" s="428" t="n"/>
      <x:c r="H18" s="428" t="n"/>
      <x:c r="I18" s="428" t="n"/>
      <x:c r="J18" s="450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 s="62" customFormat="1" ht="24" customHeight="1">
      <x:c r="A19" s="450" t="inlineStr">
        <x:is>
          <x:t xml:space="preserve">Production gap H1 2026</x:t>
        </x:is>
      </x:c>
      <x:c r="B19" s="544" t="n">
        <x:f>C3-C2</x:f>
        <x:v>110784</x:v>
      </x:c>
      <x:c r="C19" s="450" t="inlineStr">
        <x:is>
          <x:t xml:space="preserve">110,784 units</x:t>
        </x:is>
      </x:c>
      <x:c r="D19" s="428" t="n"/>
      <x:c r="E19" s="428" t="n"/>
      <x:c r="F19" s="428" t="n"/>
      <x:c r="G19" s="428" t="n"/>
      <x:c r="H19" s="428" t="n"/>
      <x:c r="I19" s="428" t="n"/>
      <x:c r="J19" s="450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 s="62" customFormat="1" ht="24" customHeight="1">
      <x:c r="A20" s="450" t="inlineStr">
        <x:is>
          <x:t xml:space="preserve">Production gap H1 2025</x:t>
        </x:is>
      </x:c>
      <x:c r="B20" s="544" t="n">
        <x:f>D3-D2</x:f>
        <x:v>31014</x:v>
      </x:c>
      <x:c r="C20" s="450" t="inlineStr">
        <x:is>
          <x:t xml:space="preserve">31,014 units</x:t>
        </x:is>
      </x:c>
      <x:c r="D20" s="428" t="n"/>
      <x:c r="E20" s="428" t="n"/>
      <x:c r="F20" s="428" t="n"/>
      <x:c r="G20" s="428" t="n"/>
      <x:c r="H20" s="428" t="n"/>
      <x:c r="I20" s="428" t="n"/>
      <x:c r="J20" s="450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 s="62" customFormat="1" ht="24" customHeight="1">
      <x:c r="A21" s="450" t="inlineStr">
        <x:is>
          <x:t xml:space="preserve">Gap increase vs prior year</x:t>
        </x:is>
      </x:c>
      <x:c r="B21" s="544" t="n">
        <x:f>B19-B20</x:f>
        <x:v>79770</x:v>
      </x:c>
      <x:c r="C21" s="450" t="inlineStr">
        <x:is>
          <x:t xml:space="preserve">79,770 units</x:t>
        </x:is>
      </x:c>
      <x:c r="D21" s="428" t="n"/>
      <x:c r="E21" s="428" t="n"/>
      <x:c r="F21" s="428" t="n"/>
      <x:c r="G21" s="428" t="n"/>
      <x:c r="H21" s="428" t="n"/>
      <x:c r="I21" s="428" t="n"/>
      <x:c r="J21" s="450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 s="62" customFormat="1" ht="24" customHeight="1">
      <x:c r="A22" s="450" t="inlineStr">
        <x:is>
          <x:t xml:space="preserve">Inventory increase, €m</x:t>
        </x:is>
      </x:c>
      <x:c r="B22" s="544" t="n">
        <x:f>C13-D13</x:f>
        <x:v>2801</x:v>
      </x:c>
      <x:c r="C22" s="450" t="inlineStr">
        <x:is>
          <x:t xml:space="preserve">2,801</x:t>
        </x:is>
      </x:c>
      <x:c r="D22" s="428" t="n"/>
      <x:c r="E22" s="428" t="n"/>
      <x:c r="F22" s="428" t="n"/>
      <x:c r="G22" s="428" t="n"/>
      <x:c r="H22" s="428" t="n"/>
      <x:c r="I22" s="428" t="n"/>
      <x:c r="J22" s="450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 s="62" customFormat="1" ht="24" customHeight="1">
      <x:c r="A23" s="450" t="inlineStr">
        <x:is>
          <x:t xml:space="preserve">Balance-sheet proxy Dec 2025, €m</x:t>
        </x:is>
      </x:c>
      <x:c r="B23" s="544" t="n">
        <x:f>D13+D14-D15</x:f>
        <x:v>10903</x:v>
      </x:c>
      <x:c r="C23" s="450" t="inlineStr">
        <x:is>
          <x:t xml:space="preserve">10,903</x:t>
        </x:is>
      </x:c>
      <x:c r="D23" s="428" t="n"/>
      <x:c r="E23" s="428" t="n"/>
      <x:c r="F23" s="428" t="n"/>
      <x:c r="G23" s="428" t="n"/>
      <x:c r="H23" s="428" t="n"/>
      <x:c r="I23" s="428" t="n"/>
      <x:c r="J23" s="450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 s="62" customFormat="1" ht="24" customHeight="1">
      <x:c r="A24" s="450" t="inlineStr">
        <x:is>
          <x:t xml:space="preserve">Balance-sheet proxy Jun 2026, €m</x:t>
        </x:is>
      </x:c>
      <x:c r="B24" s="544" t="n">
        <x:f>C13+C14-C15</x:f>
        <x:v>13403</x:v>
      </x:c>
      <x:c r="C24" s="450" t="inlineStr">
        <x:is>
          <x:t xml:space="preserve">13,403</x:t>
        </x:is>
      </x:c>
      <x:c r="D24" s="428" t="n"/>
      <x:c r="E24" s="428" t="n"/>
      <x:c r="F24" s="428" t="n"/>
      <x:c r="G24" s="428" t="n"/>
      <x:c r="H24" s="428" t="n"/>
      <x:c r="I24" s="428" t="n"/>
      <x:c r="J24" s="450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 s="62" customFormat="1" ht="24" customHeight="1">
      <x:c r="A25" s="450" t="inlineStr">
        <x:is>
          <x:t xml:space="preserve">Balance-sheet proxy movement, €m</x:t>
        </x:is>
      </x:c>
      <x:c r="B25" s="544" t="n">
        <x:f>B24-B23</x:f>
        <x:v>2500</x:v>
      </x:c>
      <x:c r="C25" s="450" t="inlineStr">
        <x:is>
          <x:t xml:space="preserve">2,500</x:t>
        </x:is>
      </x:c>
      <x:c r="D25" s="428" t="n"/>
      <x:c r="E25" s="428" t="n"/>
      <x:c r="F25" s="428" t="n"/>
      <x:c r="G25" s="428" t="n"/>
      <x:c r="H25" s="428" t="n"/>
      <x:c r="I25" s="428" t="n"/>
      <x:c r="J25" s="450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 s="62" customFormat="1" ht="24" customHeight="1">
      <x:c r="A26" s="450" t="inlineStr">
        <x:is>
          <x:t xml:space="preserve">Annualised H1 2026 Automotive cost of sales, €m</x:t>
        </x:is>
      </x:c>
      <x:c r="B26" s="544" t="n">
        <x:f>$I$2*$I$5</x:f>
        <x:v>97012</x:v>
      </x:c>
      <x:c r="C26" s="450" t="inlineStr">
        <x:is>
          <x:t xml:space="preserve">97,012</x:t>
        </x:is>
      </x:c>
      <x:c r="D26" s="428" t="n"/>
      <x:c r="E26" s="428" t="n"/>
      <x:c r="F26" s="428" t="n"/>
      <x:c r="G26" s="428" t="n"/>
      <x:c r="H26" s="428" t="n"/>
      <x:c r="I26" s="428" t="n"/>
      <x:c r="J26" s="450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 s="62" customFormat="1" ht="24" customHeight="1">
      <x:c r="A27" s="450" t="inlineStr">
        <x:is>
          <x:t xml:space="preserve">FY2025 DIO, days</x:t>
        </x:is>
      </x:c>
      <x:c r="B27" s="545" t="n">
        <x:f>(($I$4+D13)/2)/$I$3*$I$6</x:f>
        <x:v>73.8127143770711</x:v>
      </x:c>
      <x:c r="C27" s="450" t="inlineStr">
        <x:is>
          <x:t xml:space="preserve">73.8</x:t>
        </x:is>
      </x:c>
      <x:c r="D27" s="428" t="n"/>
      <x:c r="E27" s="428" t="n"/>
      <x:c r="F27" s="428" t="n"/>
      <x:c r="G27" s="428" t="n"/>
      <x:c r="H27" s="428" t="n"/>
      <x:c r="I27" s="428" t="n"/>
      <x:c r="J27" s="450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 s="62" customFormat="1" ht="24" customHeight="1">
      <x:c r="A28" s="450" t="inlineStr">
        <x:is>
          <x:t xml:space="preserve">H1 2026 annualised DIO, days</x:t>
        </x:is>
      </x:c>
      <x:c r="B28" s="545" t="n">
        <x:f>((D13+C13)/2)/($I$2*$I$5)*$I$6</x:f>
        <x:v>78.14736836679998</x:v>
      </x:c>
      <x:c r="C28" s="450" t="inlineStr">
        <x:is>
          <x:t xml:space="preserve">78.1</x:t>
        </x:is>
      </x:c>
      <x:c r="D28" s="428" t="n"/>
      <x:c r="E28" s="428" t="n"/>
      <x:c r="F28" s="428" t="n"/>
      <x:c r="G28" s="428" t="n"/>
      <x:c r="H28" s="428" t="n"/>
      <x:c r="I28" s="428" t="n"/>
      <x:c r="J28" s="450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 s="62" customFormat="1" ht="24" customHeight="1">
      <x:c r="A29" s="450" t="inlineStr">
        <x:is>
          <x:t xml:space="preserve">Cost of sales per inventory day, €m</x:t>
        </x:is>
      </x:c>
      <x:c r="B29" s="546" t="n">
        <x:f>$I$2*$I$5/$I$6</x:f>
        <x:v>265.786301369863</x:v>
      </x:c>
      <x:c r="C29" s="450" t="inlineStr">
        <x:is>
          <x:t xml:space="preserve">265.8</x:t>
        </x:is>
      </x:c>
      <x:c r="D29" s="428" t="n"/>
      <x:c r="E29" s="428" t="n"/>
      <x:c r="F29" s="428" t="n"/>
      <x:c r="G29" s="428" t="n"/>
      <x:c r="H29" s="428" t="n"/>
      <x:c r="I29" s="428" t="n"/>
      <x:c r="J29" s="450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289" t="n"/>
      <x:c r="B30" s="289" t="n"/>
      <x:c r="C30" s="289" t="n"/>
      <x:c r="D30" s="289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113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113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113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113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113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113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113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113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113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113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113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113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113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113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113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113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113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113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113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113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113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113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113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113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113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113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113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113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113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113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113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113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113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113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113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113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113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113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113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113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113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113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113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113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113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113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113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113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113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113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113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113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113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113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113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113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113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113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113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113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113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113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113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113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113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113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113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113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113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mergeCells>
    <x:mergeCell ref="A16:J16"/>
  </x:mergeCells>
  <x:pageMargins left="0.7" right="0.7" top="0.75" bottom="0.75" header="0.3" footer="0.3"/>
  <x:tableParts count="1">
    <x:tablePart xmlns:r="http://schemas.openxmlformats.org/officeDocument/2006/relationships" r:id="R62d2235b47d1448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style="62" customWidth="1"/>
    <x:col min="2" max="2" width="48" style="62" customWidth="1"/>
    <x:col min="3" max="3" width="36" style="62" customWidth="1"/>
    <x:col min="4" max="4" width="40" style="62" customWidth="1"/>
  </x:cols>
  <x:sheetData>
    <x:row r="1" s="62" customFormat="1" ht="30" customHeight="1">
      <x:c r="A1" s="411" t="inlineStr">
        <x:is>
          <x:t xml:space="preserve">Concept</x:t>
        </x:is>
      </x:c>
      <x:c r="B1" s="411" t="inlineStr">
        <x:is>
          <x:t xml:space="preserve">Definition used in project</x:t>
        </x:is>
      </x:c>
      <x:c r="C1" s="411" t="inlineStr">
        <x:is>
          <x:t xml:space="preserve">Why it is used</x:t>
        </x:is>
      </x:c>
      <x:c r="D1" s="411" t="inlineStr">
        <x:is>
          <x:t xml:space="preserve">Caution</x:t>
        </x:is>
      </x:c>
      <x:c r="E1" s="289" t="n"/>
      <x:c r="F1" s="289" t="n"/>
      <x:c r="G1" s="289" t="n"/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44" customHeight="1">
      <x:c r="A2" s="447" t="inlineStr">
        <x:is>
          <x:t xml:space="preserve">Comparable model matrix</x:t>
        </x:is>
      </x:c>
      <x:c r="B2" s="447" t="inlineStr">
        <x:is>
          <x:t xml:space="preserve">2025 BMW Group vehicle-plant production programme, excluding Debrecen pending source reconciliation and Goodwood because it is a Rolls-Royce-only plant; non-specific 'BMW M' categories are excluded from model-line counts.</x:t>
        </x:is>
      </x:c>
      <x:c r="C2" s="447" t="inlineStr">
        <x:is>
          <x:t xml:space="preserve">Creates a consistent BMW/MINI baseline for model-site concentration.</x:t>
        </x:is>
      </x:c>
      <x:c r="D2" s="447" t="inlineStr">
        <x:is>
          <x:t xml:space="preserve">It is a 2025 production-programme snapshot, not a live 2026 capacity map.</x:t>
        </x:is>
      </x:c>
      <x:c r="E2" s="289" t="n"/>
      <x:c r="F2" s="289" t="n"/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44" customHeight="1">
      <x:c r="A3" s="450" t="inlineStr">
        <x:is>
          <x:t xml:space="preserve">Single-site flag</x:t>
        </x:is>
      </x:c>
      <x:c r="B3" s="450" t="inlineStr">
        <x:is>
          <x:t xml:space="preserve">Model line appears at one site in the comparable matrix.</x:t>
        </x:is>
      </x:c>
      <x:c r="C3" s="450" t="inlineStr">
        <x:is>
          <x:t xml:space="preserve">Shows structural site concentration.</x:t>
        </x:is>
      </x:c>
      <x:c r="D3" s="450" t="inlineStr">
        <x:is>
          <x:t xml:space="preserve">It is not a probability of disruption or a value-at-risk estimate.</x:t>
        </x:is>
      </x:c>
      <x:c r="E3" s="289" t="n"/>
      <x:c r="F3" s="289" t="n"/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44" customHeight="1">
      <x:c r="A4" s="447" t="inlineStr">
        <x:is>
          <x:t xml:space="preserve">Drivetrain breadth</x:t>
        </x:is>
      </x:c>
      <x:c r="B4" s="447" t="inlineStr">
        <x:is>
          <x:t xml:space="preserve">Count of ICE, BEV and PHEV categories listed for the plant in BMW's 2025 report.</x:t>
        </x:is>
      </x:c>
      <x:c r="C4" s="447" t="inlineStr">
        <x:is>
          <x:t xml:space="preserve">Used as a public-data proxy for visible multi-drivetrain capability, not a direct measure of switching flexibility.</x:t>
        </x:is>
      </x:c>
      <x:c r="D4" s="447" t="inlineStr">
        <x:is>
          <x:t xml:space="preserve">It does not measure switching speed, capacity elasticity, changeover cost or actual production allocation.</x:t>
        </x:is>
      </x:c>
      <x:c r="E4" s="289" t="n"/>
      <x:c r="F4" s="289" t="n"/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44" customHeight="1">
      <x:c r="A5" s="450" t="inlineStr">
        <x:is>
          <x:t xml:space="preserve">Local battery link</x:t>
        </x:is>
      </x:c>
      <x:c r="B5" s="450" t="inlineStr">
        <x:is>
          <x:t xml:space="preserve">Explicit BMW statement connecting a Gen6 battery site to a vehicle plant or regional network.</x:t>
        </x:is>
      </x:c>
      <x:c r="C5" s="450" t="inlineStr">
        <x:is>
          <x:t xml:space="preserve">Shows regional coupling in the Neue Klasse architecture.</x:t>
        </x:is>
      </x:c>
      <x:c r="D5" s="450" t="inlineStr">
        <x:is>
          <x:t xml:space="preserve">Proximity does not prove every battery unit follows the same route or that no alternatives exist.</x:t>
        </x:is>
      </x:c>
      <x:c r="E5" s="289" t="n"/>
      <x:c r="F5" s="289" t="n"/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44" customHeight="1">
      <x:c r="A6" s="447" t="inlineStr">
        <x:is>
          <x:t xml:space="preserve">Balance-sheet proxy</x:t>
        </x:is>
      </x:c>
      <x:c r="B6" s="447" t="inlineStr">
        <x:is>
          <x:t xml:space="preserve">Inventory + trade receivables - trade payables.</x:t>
        </x:is>
      </x:c>
      <x:c r="C6" s="447" t="inlineStr">
        <x:is>
          <x:t xml:space="preserve">Directional balance-sheet pressure indicator; not BMW's reported change in working capital.</x:t>
        </x:is>
      </x:c>
      <x:c r="D6" s="447" t="inlineStr">
        <x:is>
          <x:t xml:space="preserve">This is the project's proxy, not BMW's reported working-capital KPI.</x:t>
        </x:is>
      </x:c>
      <x:c r="E6" s="289" t="n"/>
      <x:c r="F6" s="289" t="n"/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44" customHeight="1">
      <x:c r="A7" s="450" t="inlineStr">
        <x:is>
          <x:t xml:space="preserve">Production gap</x:t>
        </x:is>
      </x:c>
      <x:c r="B7" s="450" t="inlineStr">
        <x:is>
          <x:t xml:space="preserve">Production volume - customer deliveries for the period.</x:t>
        </x:is>
      </x:c>
      <x:c r="C7" s="450" t="inlineStr">
        <x:is>
          <x:t xml:space="preserve">Shows whether output exceeded customer deliveries in the reporting period.</x:t>
        </x:is>
      </x:c>
      <x:c r="D7" s="450" t="inlineStr">
        <x:is>
          <x:t xml:space="preserve">Production is not the same as customer sales and does not identify the reason for the gap.</x:t>
        </x:is>
      </x:c>
      <x:c r="E7" s="289" t="n"/>
      <x:c r="F7" s="289" t="n"/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44" customHeight="1">
      <x:c r="A8" s="447" t="inlineStr">
        <x:is>
          <x:t xml:space="preserve">DIO</x:t>
        </x:is>
      </x:c>
      <x:c r="B8" s="447" t="inlineStr">
        <x:is>
          <x:t xml:space="preserve">Average inventory / cost of sales × 365; H1 cost of sales annualised.</x:t>
        </x:is>
      </x:c>
      <x:c r="C8" s="447" t="inlineStr">
        <x:is>
          <x:t xml:space="preserve">Provides a directional inventory-intensity measure.</x:t>
        </x:is>
      </x:c>
      <x:c r="D8" s="447" t="inlineStr">
        <x:is>
          <x:t xml:space="preserve">H1 2026 DIO is annualised for comparability and is not a BMW-reported KPI.</x:t>
        </x:is>
      </x:c>
      <x:c r="E8" s="289" t="n"/>
      <x:c r="F8" s="289" t="n"/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44" customHeight="1">
      <x:c r="A9" s="450" t="inlineStr">
        <x:is>
          <x:t xml:space="preserve">Model identity control</x:t>
        </x:is>
      </x:c>
      <x:c r="B9" s="450" t="inlineStr">
        <x:is>
          <x:t xml:space="preserve">Same model name across different generations is not automatically treated as the same physical/product-generation asset.</x:t>
        </x:is>
      </x:c>
      <x:c r="C9" s="450" t="inlineStr">
        <x:is>
          <x:t xml:space="preserve">Prevents false continuity around reused names such as i3 and iX3.</x:t>
        </x:is>
      </x:c>
      <x:c r="D9" s="450" t="inlineStr">
        <x:is>
          <x:t xml:space="preserve">Public sources may not always expose generation-level production allocation in the same level of detail.</x:t>
        </x:is>
      </x:c>
      <x:c r="E9" s="289" t="n"/>
      <x:c r="F9" s="289" t="n"/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44" customHeight="1">
      <x:c r="A10" s="450" t="inlineStr">
        <x:is>
          <x:t xml:space="preserve">Publication boundary</x:t>
        </x:is>
      </x:c>
      <x:c r="B10" s="450" t="inlineStr">
        <x:is>
          <x:t xml:space="preserve">Quantitative baseline frozen at the 10 August 2026 evidence cut-off; publication date is 28 August 2026.</x:t>
        </x:is>
      </x:c>
      <x:c r="C10" s="450" t="inlineStr">
        <x:is>
          <x:t xml:space="preserve">Prevents post-cut-off information from being mixed into the baseline.</x:t>
        </x:is>
      </x:c>
      <x:c r="D10" s="450" t="n"/>
      <x:c r="E10" s="289" t="n"/>
      <x:c r="F10" s="289" t="n"/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>
      <x:c r="A11" s="289" t="n"/>
      <x:c r="B11" s="289" t="n"/>
      <x:c r="C11" s="289" t="n"/>
      <x:c r="D11" s="113" t="n"/>
      <x:c r="E11" s="289" t="n"/>
      <x:c r="F11" s="289" t="n"/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>
      <x:c r="A12" s="289" t="n"/>
      <x:c r="B12" s="289" t="n"/>
      <x:c r="C12" s="289" t="n"/>
      <x:c r="D12" s="113" t="n"/>
      <x:c r="E12" s="289" t="n"/>
      <x:c r="F12" s="289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>
      <x:c r="A13" s="289" t="n"/>
      <x:c r="B13" s="289" t="n"/>
      <x:c r="C13" s="289" t="n"/>
      <x:c r="D13" s="113" t="n"/>
      <x:c r="E13" s="289" t="n"/>
      <x:c r="F13" s="289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>
      <x:c r="A14" s="289" t="n"/>
      <x:c r="B14" s="289" t="n"/>
      <x:c r="C14" s="289" t="n"/>
      <x:c r="D14" s="113" t="n"/>
      <x:c r="E14" s="289" t="n"/>
      <x:c r="F14" s="289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>
      <x:c r="A15" s="289" t="n"/>
      <x:c r="B15" s="289" t="n"/>
      <x:c r="C15" s="289" t="n"/>
      <x:c r="D15" s="113" t="n"/>
      <x:c r="E15" s="289" t="n"/>
      <x:c r="F15" s="289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289" t="n"/>
      <x:c r="B16" s="289" t="n"/>
      <x:c r="C16" s="289" t="n"/>
      <x:c r="D16" s="113" t="n"/>
      <x:c r="E16" s="289" t="n"/>
      <x:c r="F16" s="289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289" t="n"/>
      <x:c r="B17" s="289" t="n"/>
      <x:c r="C17" s="289" t="n"/>
      <x:c r="D17" s="113" t="n"/>
      <x:c r="E17" s="289" t="n"/>
      <x:c r="F17" s="289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289" t="n"/>
      <x:c r="B18" s="289" t="n"/>
      <x:c r="C18" s="289" t="n"/>
      <x:c r="D18" s="113" t="n"/>
      <x:c r="E18" s="289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289" t="n"/>
      <x:c r="B19" s="289" t="n"/>
      <x:c r="C19" s="289" t="n"/>
      <x:c r="D19" s="113" t="n"/>
      <x:c r="E19" s="289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289" t="n"/>
      <x:c r="B20" s="289" t="n"/>
      <x:c r="C20" s="289" t="n"/>
      <x:c r="D20" s="113" t="n"/>
      <x:c r="E20" s="289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289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289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289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289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289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289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289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289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289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289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289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289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289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289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289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289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289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289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289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289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289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289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289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289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289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289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289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289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289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289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289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289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289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289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289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289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289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289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289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289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289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289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289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289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289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289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289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289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289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289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289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289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289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289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289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289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289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289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289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289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289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289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289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289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289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289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289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289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289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289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289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289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289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289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289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289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289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289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289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289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289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289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289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289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289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289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289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289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289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289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289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289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289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289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289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289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289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289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289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289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289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289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289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289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289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289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289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289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289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289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289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289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289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289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289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289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289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289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289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289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289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289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289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289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289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289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289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289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289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289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289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289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289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289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289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289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289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289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289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289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289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289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289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289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289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289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289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289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289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289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289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289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289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289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289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289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289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289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289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289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289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289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289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289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289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289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289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289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289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289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289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289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289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289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289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289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289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289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289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8" style="62" customWidth="1"/>
    <x:col min="2" max="2" width="14" style="62" customWidth="1"/>
    <x:col min="4" max="4" width="18" style="62" customWidth="1"/>
    <x:col min="5" max="5" width="22" style="62" customWidth="1"/>
  </x:cols>
  <x:sheetData>
    <x:row r="1">
      <x:c r="A1" s="257" t="inlineStr">
        <x:is>
          <x:t xml:space="preserve">Model-site coverage</x:t>
        </x:is>
      </x:c>
      <x:c r="B1" s="257" t="inlineStr">
        <x:is>
          <x:t xml:space="preserve">Model lines</x:t>
        </x:is>
      </x:c>
      <x:c r="C1" s="254" t="str"/>
      <x:c r="D1" s="257" t="str"/>
      <x:c r="E1" s="257" t="inlineStr">
        <x:is>
          <x:t xml:space="preserve">Number of model lines</x:t>
        </x:is>
      </x:c>
      <x:c r="F1" s="254" t="inlineStr">
        <x:is>
          <x:t xml:space="preserve">Plant</x:t>
        </x:is>
      </x:c>
      <x:c r="G1" s="254" t="inlineStr">
        <x:is>
          <x:t xml:space="preserve">Named model lines</x:t>
        </x:is>
      </x:c>
      <x:c r="H1" s="254" t="n"/>
      <x:c r="I1" s="254" t="inlineStr">
        <x:is>
          <x:t xml:space="preserve">H1 2026</x:t>
        </x:is>
      </x:c>
      <x:c r="J1" s="254" t="inlineStr">
        <x:is>
          <x:t xml:space="preserve">Production</x:t>
        </x:is>
      </x:c>
      <x:c r="K1" s="254" t="inlineStr">
        <x:is>
          <x:t xml:space="preserve">Deliveries</x:t>
        </x:is>
      </x:c>
      <x:c r="L1" s="254" t="n"/>
      <x:c r="M1" s="254" t="inlineStr">
        <x:is>
          <x:t xml:space="preserve">Financial signal</x:t>
        </x:is>
      </x:c>
      <x:c r="N1" s="254" t="inlineStr">
        <x:is>
          <x:t xml:space="preserve">Value</x:t>
        </x:is>
      </x:c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>
      <x:c r="A2" s="199" t="inlineStr">
        <x:is>
          <x:t xml:space="preserve">Sites per model line</x:t>
        </x:is>
      </x:c>
      <x:c r="B2" s="199" t="inlineStr">
        <x:is>
          <x:t xml:space="preserve">Model lines</x:t>
        </x:is>
      </x:c>
      <x:c r="C2" s="295" t="str"/>
      <x:c r="D2" s="199" t="str"/>
      <x:c r="E2" s="199" t="n">
        <x:v>12</x:v>
      </x:c>
      <x:c r="F2" s="295" t="inlineStr">
        <x:is>
          <x:t xml:space="preserve">Rayong</x:t>
        </x:is>
      </x:c>
      <x:c r="G2" s="295" t="n">
        <x:v>10</x:v>
      </x:c>
      <x:c r="H2" s="295" t="n"/>
      <x:c r="I2" s="295" t="inlineStr">
        <x:is>
          <x:t xml:space="preserve">Vehicles</x:t>
        </x:is>
      </x:c>
      <x:c r="J2" s="295" t="n">
        <x:v>1267511</x:v>
      </x:c>
      <x:c r="K2" s="295" t="n">
        <x:v>1156727</x:v>
      </x:c>
      <x:c r="L2" s="295" t="n"/>
      <x:c r="M2" s="295" t="inlineStr">
        <x:is>
          <x:t xml:space="preserve">Production gap H1 2026</x:t>
        </x:is>
      </x:c>
      <x:c r="N2" s="295" t="n">
        <x:v>110784</x:v>
      </x:c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>
      <x:c r="A3" s="199" t="n">
        <x:v>1</x:v>
      </x:c>
      <x:c r="B3" s="199" t="n">
        <x:v>12</x:v>
      </x:c>
      <x:c r="C3" s="295" t="str"/>
      <x:c r="D3" s="199" t="str"/>
      <x:c r="E3" s="199" t="n">
        <x:v>6</x:v>
      </x:c>
      <x:c r="F3" s="295" t="inlineStr">
        <x:is>
          <x:t xml:space="preserve">Chennai</x:t>
        </x:is>
      </x:c>
      <x:c r="G3" s="295" t="n">
        <x:v>9</x:v>
      </x:c>
      <x:c r="H3" s="295" t="n"/>
      <x:c r="I3" s="295" t="inlineStr">
        <x:is>
          <x:t xml:space="preserve">H1 2025</x:t>
        </x:is>
      </x:c>
      <x:c r="J3" s="295" t="n">
        <x:v>1238608</x:v>
      </x:c>
      <x:c r="K3" s="295" t="n">
        <x:v>1207594</x:v>
      </x:c>
      <x:c r="L3" s="295" t="n"/>
      <x:c r="M3" s="295" t="inlineStr">
        <x:is>
          <x:t xml:space="preserve">Production gap H1 2025</x:t>
        </x:is>
      </x:c>
      <x:c r="N3" s="295" t="n">
        <x:v>31014</x:v>
      </x:c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>
      <x:c r="A4" s="199" t="n">
        <x:v>2</x:v>
      </x:c>
      <x:c r="B4" s="199" t="n">
        <x:v>6</x:v>
      </x:c>
      <x:c r="C4" s="295" t="str"/>
      <x:c r="D4" s="199" t="str"/>
      <x:c r="E4" s="199" t="n">
        <x:v>3</x:v>
      </x:c>
      <x:c r="F4" s="295" t="inlineStr">
        <x:is>
          <x:t xml:space="preserve">Dingolfing</x:t>
        </x:is>
      </x:c>
      <x:c r="G4" s="295" t="n">
        <x:v>7</x:v>
      </x:c>
      <x:c r="H4" s="295" t="n"/>
      <x:c r="I4" s="295" t="n"/>
      <x:c r="J4" s="295" t="n"/>
      <x:c r="K4" s="295" t="n"/>
      <x:c r="L4" s="295" t="n"/>
      <x:c r="M4" s="295" t="inlineStr">
        <x:is>
          <x:t xml:space="preserve">Inventory increase €m</x:t>
        </x:is>
      </x:c>
      <x:c r="N4" s="295" t="n">
        <x:v>2801</x:v>
      </x:c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>
      <x:c r="A5" s="199" t="n">
        <x:v>3</x:v>
      </x:c>
      <x:c r="B5" s="199" t="n">
        <x:v>3</x:v>
      </x:c>
      <x:c r="C5" s="295" t="str"/>
      <x:c r="D5" s="199" t="str"/>
      <x:c r="E5" s="199" t="n">
        <x:v>1</x:v>
      </x:c>
      <x:c r="F5" s="295" t="inlineStr">
        <x:is>
          <x:t xml:space="preserve">Shenyang (Tiexi)</x:t>
        </x:is>
      </x:c>
      <x:c r="G5" s="295" t="n">
        <x:v>6</x:v>
      </x:c>
      <x:c r="H5" s="295" t="n"/>
      <x:c r="I5" s="295" t="n"/>
      <x:c r="J5" s="295" t="n"/>
      <x:c r="K5" s="295" t="n"/>
      <x:c r="L5" s="295" t="n"/>
      <x:c r="M5" s="295" t="inlineStr">
        <x:is>
          <x:t xml:space="preserve">WC change H1 2026 €m</x:t>
        </x:is>
      </x:c>
      <x:c r="N5" s="295" t="n">
        <x:v>-1858</x:v>
      </x:c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>
      <x:c r="A6" s="199" t="n">
        <x:v>4</x:v>
      </x:c>
      <x:c r="B6" s="199" t="n">
        <x:v>1</x:v>
      </x:c>
      <x:c r="C6" s="295" t="str"/>
      <x:c r="D6" s="199" t="str"/>
      <x:c r="E6" s="199" t="n">
        <x:v>4</x:v>
      </x:c>
      <x:c r="F6" s="295" t="inlineStr">
        <x:is>
          <x:t xml:space="preserve">Spartanburg</x:t>
        </x:is>
      </x:c>
      <x:c r="G6" s="295" t="n">
        <x:v>6</x:v>
      </x:c>
      <x:c r="H6" s="295" t="n"/>
      <x:c r="I6" s="295" t="n"/>
      <x:c r="J6" s="295" t="n"/>
      <x:c r="K6" s="295" t="n"/>
      <x:c r="L6" s="295" t="n"/>
      <x:c r="M6" s="295" t="inlineStr">
        <x:is>
          <x:t xml:space="preserve">Automotive FCF H1 2026 €m</x:t>
        </x:is>
      </x:c>
      <x:c r="N6" s="295" t="n">
        <x:v>1290</x:v>
      </x:c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>
      <x:c r="A7" s="199" t="n">
        <x:v>5</x:v>
      </x:c>
      <x:c r="B7" s="199" t="n">
        <x:v>4</x:v>
      </x:c>
      <x:c r="C7" s="295" t="str"/>
      <x:c r="D7" s="199" t="str"/>
      <x:c r="E7" s="199" t="n">
        <x:v>1</x:v>
      </x:c>
      <x:c r="F7" s="295" t="inlineStr">
        <x:is>
          <x:t xml:space="preserve">Araquari</x:t>
        </x:is>
      </x:c>
      <x:c r="G7" s="295" t="n">
        <x:v>4</x:v>
      </x:c>
      <x:c r="H7" s="295" t="n"/>
      <x:c r="I7" s="295" t="n"/>
      <x:c r="J7" s="295" t="n"/>
      <x:c r="K7" s="295" t="n"/>
      <x:c r="L7" s="295" t="n"/>
      <x:c r="M7" s="295" t="inlineStr">
        <x:is>
          <x:t xml:space="preserve">Automotive FCF H1 2025 €m</x:t>
        </x:is>
      </x:c>
      <x:c r="N7" s="295" t="n">
        <x:v>2345</x:v>
      </x:c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>
      <x:c r="A8" s="199" t="n">
        <x:v>6</x:v>
      </x:c>
      <x:c r="B8" s="199" t="n">
        <x:v>1</x:v>
      </x:c>
      <x:c r="C8" s="295" t="str"/>
      <x:c r="D8" s="295" t="str"/>
      <x:c r="E8" s="295" t="n"/>
      <x:c r="F8" s="295" t="inlineStr">
        <x:is>
          <x:t xml:space="preserve">Regensburg</x:t>
        </x:is>
      </x:c>
      <x:c r="G8" s="295" t="n">
        <x:v>4</x:v>
      </x:c>
      <x:c r="H8" s="295" t="n"/>
      <x:c r="I8" s="295" t="n"/>
      <x:c r="J8" s="295" t="n"/>
      <x:c r="K8" s="295" t="n"/>
      <x:c r="L8" s="295" t="n"/>
      <x:c r="M8" s="295" t="inlineStr">
        <x:is>
          <x:t xml:space="preserve">DIO change days</x:t>
        </x:is>
      </x:c>
      <x:c r="N8" s="295" t="n">
        <x:v>4.3</x:v>
      </x:c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>
      <x:c r="A9" s="199" t="inlineStr">
        <x:is>
          <x:t xml:space="preserve">Shenyang (Dadong)</x:t>
        </x:is>
      </x:c>
      <x:c r="B9" s="199" t="n">
        <x:v>4</x:v>
      </x:c>
      <x:c r="C9" s="295" t="n"/>
      <x:c r="D9" s="295" t="n"/>
      <x:c r="E9" s="295" t="n"/>
      <x:c r="F9" s="295" t="inlineStr">
        <x:is>
          <x:t xml:space="preserve">Shenyang (Dadong)</x:t>
        </x:is>
      </x:c>
      <x:c r="G9" s="295" t="n">
        <x:v>4</x:v>
      </x:c>
      <x:c r="H9" s="295" t="n"/>
      <x:c r="I9" s="295" t="n"/>
      <x:c r="J9" s="295" t="n"/>
      <x:c r="K9" s="295" t="n"/>
      <x:c r="L9" s="295" t="n"/>
      <x:c r="M9" s="295" t="n"/>
      <x:c r="N9" s="295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>
      <x:c r="A10" s="199" t="inlineStr">
        <x:is>
          <x:t xml:space="preserve">Leipzig</x:t>
        </x:is>
      </x:c>
      <x:c r="B10" s="199" t="n">
        <x:v>3</x:v>
      </x:c>
      <x:c r="C10" s="295" t="n"/>
      <x:c r="D10" s="295" t="n"/>
      <x:c r="E10" s="295" t="n"/>
      <x:c r="F10" s="295" t="inlineStr">
        <x:is>
          <x:t xml:space="preserve">Leipzig</x:t>
        </x:is>
      </x:c>
      <x:c r="G10" s="295" t="n">
        <x:v>3</x:v>
      </x:c>
      <x:c r="H10" s="295" t="n"/>
      <x:c r="I10" s="295" t="n"/>
      <x:c r="J10" s="295" t="n"/>
      <x:c r="K10" s="295" t="n"/>
      <x:c r="L10" s="295" t="n"/>
      <x:c r="M10" s="295" t="n"/>
      <x:c r="N10" s="295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>
      <x:c r="A11" s="199" t="inlineStr">
        <x:is>
          <x:t xml:space="preserve">Munich</x:t>
        </x:is>
      </x:c>
      <x:c r="B11" s="199" t="n">
        <x:v>3</x:v>
      </x:c>
      <x:c r="C11" s="295" t="n"/>
      <x:c r="D11" s="295" t="n"/>
      <x:c r="E11" s="295" t="n"/>
      <x:c r="F11" s="295" t="inlineStr">
        <x:is>
          <x:t xml:space="preserve">Munich</x:t>
        </x:is>
      </x:c>
      <x:c r="G11" s="295" t="n">
        <x:v>3</x:v>
      </x:c>
      <x:c r="H11" s="295" t="n"/>
      <x:c r="I11" s="295" t="n"/>
      <x:c r="J11" s="295" t="n"/>
      <x:c r="K11" s="295" t="n"/>
      <x:c r="L11" s="295" t="n"/>
      <x:c r="M11" s="295" t="n"/>
      <x:c r="N11" s="295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>
      <x:c r="A12" s="289" t="n"/>
      <x:c r="B12" s="289" t="n"/>
      <x:c r="C12" s="289" t="n"/>
      <x:c r="D12" s="289" t="n"/>
      <x:c r="E12" s="289" t="n"/>
      <x:c r="F12" s="289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>
      <x:c r="A13" s="289" t="n"/>
      <x:c r="B13" s="289" t="n"/>
      <x:c r="C13" s="289" t="n"/>
      <x:c r="D13" s="289" t="n"/>
      <x:c r="E13" s="289" t="n"/>
      <x:c r="F13" s="289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>
      <x:c r="A14" s="289" t="n"/>
      <x:c r="B14" s="289" t="n"/>
      <x:c r="C14" s="289" t="n"/>
      <x:c r="D14" s="289" t="n"/>
      <x:c r="E14" s="289" t="n"/>
      <x:c r="F14" s="289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>
      <x:c r="A15" s="289" t="n"/>
      <x:c r="B15" s="289" t="n"/>
      <x:c r="C15" s="289" t="n"/>
      <x:c r="D15" s="289" t="n"/>
      <x:c r="E15" s="289" t="n"/>
      <x:c r="F15" s="289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289" t="n"/>
      <x:c r="B16" s="289" t="n"/>
      <x:c r="C16" s="289" t="n"/>
      <x:c r="D16" s="289" t="n"/>
      <x:c r="E16" s="289" t="n"/>
      <x:c r="F16" s="289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289" t="n"/>
      <x:c r="B17" s="289" t="n"/>
      <x:c r="C17" s="289" t="n"/>
      <x:c r="D17" s="289" t="n"/>
      <x:c r="E17" s="289" t="n"/>
      <x:c r="F17" s="289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289" t="n"/>
      <x:c r="B18" s="289" t="n"/>
      <x:c r="C18" s="289" t="n"/>
      <x:c r="D18" s="289" t="n"/>
      <x:c r="E18" s="289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289" t="n"/>
      <x:c r="B19" s="289" t="n"/>
      <x:c r="C19" s="289" t="n"/>
      <x:c r="D19" s="289" t="n"/>
      <x:c r="E19" s="289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289" t="n"/>
      <x:c r="B20" s="289" t="n"/>
      <x:c r="C20" s="289" t="n"/>
      <x:c r="D20" s="289" t="n"/>
      <x:c r="E20" s="289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289" t="n"/>
      <x:c r="B21" s="289" t="n"/>
      <x:c r="C21" s="289" t="n"/>
      <x:c r="D21" s="289" t="n"/>
      <x:c r="E21" s="289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289" t="n"/>
      <x:c r="B22" s="289" t="n"/>
      <x:c r="C22" s="289" t="n"/>
      <x:c r="D22" s="289" t="n"/>
      <x:c r="E22" s="289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289" t="n"/>
      <x:c r="B23" s="289" t="n"/>
      <x:c r="C23" s="289" t="n"/>
      <x:c r="D23" s="289" t="n"/>
      <x:c r="E23" s="289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289" t="n"/>
      <x:c r="B24" s="289" t="n"/>
      <x:c r="C24" s="289" t="n"/>
      <x:c r="D24" s="289" t="n"/>
      <x:c r="E24" s="289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289" t="n"/>
      <x:c r="B25" s="289" t="n"/>
      <x:c r="C25" s="289" t="n"/>
      <x:c r="D25" s="289" t="n"/>
      <x:c r="E25" s="289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289" t="n"/>
      <x:c r="B26" s="289" t="n"/>
      <x:c r="C26" s="289" t="n"/>
      <x:c r="D26" s="289" t="n"/>
      <x:c r="E26" s="289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289" t="n"/>
      <x:c r="B27" s="289" t="n"/>
      <x:c r="C27" s="289" t="n"/>
      <x:c r="D27" s="289" t="n"/>
      <x:c r="E27" s="289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289" t="n"/>
      <x:c r="B28" s="289" t="n"/>
      <x:c r="C28" s="289" t="n"/>
      <x:c r="D28" s="289" t="n"/>
      <x:c r="E28" s="289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289" t="n"/>
      <x:c r="B29" s="289" t="n"/>
      <x:c r="C29" s="289" t="n"/>
      <x:c r="D29" s="289" t="n"/>
      <x:c r="E29" s="289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289" t="n"/>
      <x:c r="B30" s="289" t="n"/>
      <x:c r="C30" s="289" t="n"/>
      <x:c r="D30" s="289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289" t="n"/>
      <x:c r="B31" s="289" t="n"/>
      <x:c r="C31" s="289" t="n"/>
      <x:c r="D31" s="289" t="n"/>
      <x:c r="E31" s="289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289" t="n"/>
      <x:c r="B32" s="289" t="n"/>
      <x:c r="C32" s="289" t="n"/>
      <x:c r="D32" s="289" t="n"/>
      <x:c r="E32" s="289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289" t="n"/>
      <x:c r="B33" s="289" t="n"/>
      <x:c r="C33" s="289" t="n"/>
      <x:c r="D33" s="289" t="n"/>
      <x:c r="E33" s="289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289" t="n"/>
      <x:c r="B34" s="289" t="n"/>
      <x:c r="C34" s="289" t="n"/>
      <x:c r="D34" s="289" t="n"/>
      <x:c r="E34" s="289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289" t="n"/>
      <x:c r="B35" s="289" t="n"/>
      <x:c r="C35" s="289" t="n"/>
      <x:c r="D35" s="289" t="n"/>
      <x:c r="E35" s="289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289" t="n"/>
      <x:c r="B36" s="289" t="n"/>
      <x:c r="C36" s="289" t="n"/>
      <x:c r="D36" s="289" t="n"/>
      <x:c r="E36" s="289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289" t="n"/>
      <x:c r="B37" s="289" t="n"/>
      <x:c r="C37" s="289" t="n"/>
      <x:c r="D37" s="289" t="n"/>
      <x:c r="E37" s="289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289" t="n"/>
      <x:c r="B38" s="289" t="n"/>
      <x:c r="C38" s="289" t="n"/>
      <x:c r="D38" s="289" t="n"/>
      <x:c r="E38" s="289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289" t="n"/>
      <x:c r="B39" s="289" t="n"/>
      <x:c r="C39" s="289" t="n"/>
      <x:c r="D39" s="289" t="n"/>
      <x:c r="E39" s="289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289" t="n"/>
      <x:c r="B40" s="289" t="n"/>
      <x:c r="C40" s="289" t="n"/>
      <x:c r="D40" s="289" t="n"/>
      <x:c r="E40" s="289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289" t="n"/>
      <x:c r="B41" s="289" t="n"/>
      <x:c r="C41" s="289" t="n"/>
      <x:c r="D41" s="289" t="n"/>
      <x:c r="E41" s="289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289" t="n"/>
      <x:c r="B42" s="289" t="n"/>
      <x:c r="C42" s="289" t="n"/>
      <x:c r="D42" s="289" t="n"/>
      <x:c r="E42" s="289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289" t="n"/>
      <x:c r="B43" s="289" t="n"/>
      <x:c r="C43" s="289" t="n"/>
      <x:c r="D43" s="289" t="n"/>
      <x:c r="E43" s="289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289" t="n"/>
      <x:c r="B44" s="289" t="n"/>
      <x:c r="C44" s="289" t="n"/>
      <x:c r="D44" s="289" t="n"/>
      <x:c r="E44" s="289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289" t="n"/>
      <x:c r="B45" s="289" t="n"/>
      <x:c r="C45" s="289" t="n"/>
      <x:c r="D45" s="289" t="n"/>
      <x:c r="E45" s="289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289" t="n"/>
      <x:c r="B46" s="289" t="n"/>
      <x:c r="C46" s="289" t="n"/>
      <x:c r="D46" s="289" t="n"/>
      <x:c r="E46" s="289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289" t="n"/>
      <x:c r="B47" s="289" t="n"/>
      <x:c r="C47" s="289" t="n"/>
      <x:c r="D47" s="289" t="n"/>
      <x:c r="E47" s="289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289" t="n"/>
      <x:c r="B48" s="289" t="n"/>
      <x:c r="C48" s="289" t="n"/>
      <x:c r="D48" s="289" t="n"/>
      <x:c r="E48" s="289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289" t="n"/>
      <x:c r="B49" s="289" t="n"/>
      <x:c r="C49" s="289" t="n"/>
      <x:c r="D49" s="289" t="n"/>
      <x:c r="E49" s="289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289" t="n"/>
      <x:c r="B50" s="289" t="n"/>
      <x:c r="C50" s="289" t="n"/>
      <x:c r="D50" s="289" t="n"/>
      <x:c r="E50" s="289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289" t="n"/>
      <x:c r="B51" s="289" t="n"/>
      <x:c r="C51" s="289" t="n"/>
      <x:c r="D51" s="289" t="n"/>
      <x:c r="E51" s="289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289" t="n"/>
      <x:c r="B52" s="289" t="n"/>
      <x:c r="C52" s="289" t="n"/>
      <x:c r="D52" s="289" t="n"/>
      <x:c r="E52" s="289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289" t="n"/>
      <x:c r="B53" s="289" t="n"/>
      <x:c r="C53" s="289" t="n"/>
      <x:c r="D53" s="289" t="n"/>
      <x:c r="E53" s="289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289" t="n"/>
      <x:c r="B54" s="289" t="n"/>
      <x:c r="C54" s="289" t="n"/>
      <x:c r="D54" s="289" t="n"/>
      <x:c r="E54" s="289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289" t="n"/>
      <x:c r="B55" s="289" t="n"/>
      <x:c r="C55" s="289" t="n"/>
      <x:c r="D55" s="289" t="n"/>
      <x:c r="E55" s="289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289" t="n"/>
      <x:c r="B56" s="289" t="n"/>
      <x:c r="C56" s="289" t="n"/>
      <x:c r="D56" s="289" t="n"/>
      <x:c r="E56" s="289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289" t="n"/>
      <x:c r="B57" s="289" t="n"/>
      <x:c r="C57" s="289" t="n"/>
      <x:c r="D57" s="289" t="n"/>
      <x:c r="E57" s="289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289" t="n"/>
      <x:c r="B58" s="289" t="n"/>
      <x:c r="C58" s="289" t="n"/>
      <x:c r="D58" s="289" t="n"/>
      <x:c r="E58" s="289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289" t="n"/>
      <x:c r="B59" s="289" t="n"/>
      <x:c r="C59" s="289" t="n"/>
      <x:c r="D59" s="289" t="n"/>
      <x:c r="E59" s="289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289" t="n"/>
      <x:c r="B60" s="289" t="n"/>
      <x:c r="C60" s="289" t="n"/>
      <x:c r="D60" s="289" t="n"/>
      <x:c r="E60" s="289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289" t="n"/>
      <x:c r="B61" s="289" t="n"/>
      <x:c r="C61" s="289" t="n"/>
      <x:c r="D61" s="289" t="n"/>
      <x:c r="E61" s="289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289" t="n"/>
      <x:c r="B62" s="289" t="n"/>
      <x:c r="C62" s="289" t="n"/>
      <x:c r="D62" s="289" t="n"/>
      <x:c r="E62" s="289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289" t="n"/>
      <x:c r="B63" s="289" t="n"/>
      <x:c r="C63" s="289" t="n"/>
      <x:c r="D63" s="289" t="n"/>
      <x:c r="E63" s="289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289" t="n"/>
      <x:c r="B64" s="289" t="n"/>
      <x:c r="C64" s="289" t="n"/>
      <x:c r="D64" s="289" t="n"/>
      <x:c r="E64" s="289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289" t="n"/>
      <x:c r="B65" s="289" t="n"/>
      <x:c r="C65" s="289" t="n"/>
      <x:c r="D65" s="289" t="n"/>
      <x:c r="E65" s="289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289" t="n"/>
      <x:c r="B66" s="289" t="n"/>
      <x:c r="C66" s="289" t="n"/>
      <x:c r="D66" s="289" t="n"/>
      <x:c r="E66" s="289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289" t="n"/>
      <x:c r="B67" s="289" t="n"/>
      <x:c r="C67" s="289" t="n"/>
      <x:c r="D67" s="289" t="n"/>
      <x:c r="E67" s="289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289" t="n"/>
      <x:c r="B68" s="289" t="n"/>
      <x:c r="C68" s="289" t="n"/>
      <x:c r="D68" s="289" t="n"/>
      <x:c r="E68" s="289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289" t="n"/>
      <x:c r="B69" s="289" t="n"/>
      <x:c r="C69" s="289" t="n"/>
      <x:c r="D69" s="289" t="n"/>
      <x:c r="E69" s="289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289" t="n"/>
      <x:c r="B70" s="289" t="n"/>
      <x:c r="C70" s="289" t="n"/>
      <x:c r="D70" s="289" t="n"/>
      <x:c r="E70" s="289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289" t="n"/>
      <x:c r="B71" s="289" t="n"/>
      <x:c r="C71" s="289" t="n"/>
      <x:c r="D71" s="289" t="n"/>
      <x:c r="E71" s="289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289" t="n"/>
      <x:c r="B72" s="289" t="n"/>
      <x:c r="C72" s="289" t="n"/>
      <x:c r="D72" s="289" t="n"/>
      <x:c r="E72" s="289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289" t="n"/>
      <x:c r="B73" s="289" t="n"/>
      <x:c r="C73" s="289" t="n"/>
      <x:c r="D73" s="289" t="n"/>
      <x:c r="E73" s="289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289" t="n"/>
      <x:c r="B74" s="289" t="n"/>
      <x:c r="C74" s="289" t="n"/>
      <x:c r="D74" s="289" t="n"/>
      <x:c r="E74" s="289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289" t="n"/>
      <x:c r="B75" s="289" t="n"/>
      <x:c r="C75" s="289" t="n"/>
      <x:c r="D75" s="289" t="n"/>
      <x:c r="E75" s="289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289" t="n"/>
      <x:c r="B76" s="289" t="n"/>
      <x:c r="C76" s="289" t="n"/>
      <x:c r="D76" s="289" t="n"/>
      <x:c r="E76" s="289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289" t="n"/>
      <x:c r="B77" s="289" t="n"/>
      <x:c r="C77" s="289" t="n"/>
      <x:c r="D77" s="289" t="n"/>
      <x:c r="E77" s="289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289" t="n"/>
      <x:c r="B78" s="289" t="n"/>
      <x:c r="C78" s="289" t="n"/>
      <x:c r="D78" s="289" t="n"/>
      <x:c r="E78" s="289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289" t="n"/>
      <x:c r="B79" s="289" t="n"/>
      <x:c r="C79" s="289" t="n"/>
      <x:c r="D79" s="289" t="n"/>
      <x:c r="E79" s="289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289" t="n"/>
      <x:c r="B80" s="289" t="n"/>
      <x:c r="C80" s="289" t="n"/>
      <x:c r="D80" s="289" t="n"/>
      <x:c r="E80" s="289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289" t="n"/>
      <x:c r="B81" s="289" t="n"/>
      <x:c r="C81" s="289" t="n"/>
      <x:c r="D81" s="289" t="n"/>
      <x:c r="E81" s="289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289" t="n"/>
      <x:c r="B82" s="289" t="n"/>
      <x:c r="C82" s="289" t="n"/>
      <x:c r="D82" s="289" t="n"/>
      <x:c r="E82" s="289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289" t="n"/>
      <x:c r="B83" s="289" t="n"/>
      <x:c r="C83" s="289" t="n"/>
      <x:c r="D83" s="289" t="n"/>
      <x:c r="E83" s="289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289" t="n"/>
      <x:c r="B84" s="289" t="n"/>
      <x:c r="C84" s="289" t="n"/>
      <x:c r="D84" s="289" t="n"/>
      <x:c r="E84" s="289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289" t="n"/>
      <x:c r="B85" s="289" t="n"/>
      <x:c r="C85" s="289" t="n"/>
      <x:c r="D85" s="289" t="n"/>
      <x:c r="E85" s="289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289" t="n"/>
      <x:c r="B86" s="289" t="n"/>
      <x:c r="C86" s="289" t="n"/>
      <x:c r="D86" s="289" t="n"/>
      <x:c r="E86" s="289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289" t="n"/>
      <x:c r="B87" s="289" t="n"/>
      <x:c r="C87" s="289" t="n"/>
      <x:c r="D87" s="289" t="n"/>
      <x:c r="E87" s="289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289" t="n"/>
      <x:c r="B88" s="289" t="n"/>
      <x:c r="C88" s="289" t="n"/>
      <x:c r="D88" s="289" t="n"/>
      <x:c r="E88" s="289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289" t="n"/>
      <x:c r="B89" s="289" t="n"/>
      <x:c r="C89" s="289" t="n"/>
      <x:c r="D89" s="289" t="n"/>
      <x:c r="E89" s="289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289" t="n"/>
      <x:c r="B90" s="289" t="n"/>
      <x:c r="C90" s="289" t="n"/>
      <x:c r="D90" s="289" t="n"/>
      <x:c r="E90" s="289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289" t="n"/>
      <x:c r="B91" s="289" t="n"/>
      <x:c r="C91" s="289" t="n"/>
      <x:c r="D91" s="289" t="n"/>
      <x:c r="E91" s="289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289" t="n"/>
      <x:c r="B92" s="289" t="n"/>
      <x:c r="C92" s="289" t="n"/>
      <x:c r="D92" s="289" t="n"/>
      <x:c r="E92" s="289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289" t="n"/>
      <x:c r="B93" s="289" t="n"/>
      <x:c r="C93" s="289" t="n"/>
      <x:c r="D93" s="289" t="n"/>
      <x:c r="E93" s="289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289" t="n"/>
      <x:c r="B94" s="289" t="n"/>
      <x:c r="C94" s="289" t="n"/>
      <x:c r="D94" s="289" t="n"/>
      <x:c r="E94" s="289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289" t="n"/>
      <x:c r="B95" s="289" t="n"/>
      <x:c r="C95" s="289" t="n"/>
      <x:c r="D95" s="289" t="n"/>
      <x:c r="E95" s="289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289" t="n"/>
      <x:c r="B96" s="289" t="n"/>
      <x:c r="C96" s="289" t="n"/>
      <x:c r="D96" s="289" t="n"/>
      <x:c r="E96" s="289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289" t="n"/>
      <x:c r="B97" s="289" t="n"/>
      <x:c r="C97" s="289" t="n"/>
      <x:c r="D97" s="289" t="n"/>
      <x:c r="E97" s="289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289" t="n"/>
      <x:c r="B98" s="289" t="n"/>
      <x:c r="C98" s="289" t="n"/>
      <x:c r="D98" s="289" t="n"/>
      <x:c r="E98" s="289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289" t="n"/>
      <x:c r="B99" s="289" t="n"/>
      <x:c r="C99" s="289" t="n"/>
      <x:c r="D99" s="289" t="n"/>
      <x:c r="E99" s="289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289" t="n"/>
      <x:c r="B100" s="289" t="n"/>
      <x:c r="C100" s="289" t="n"/>
      <x:c r="D100" s="289" t="n"/>
      <x:c r="E100" s="289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289" t="n"/>
      <x:c r="B101" s="289" t="n"/>
      <x:c r="C101" s="289" t="n"/>
      <x:c r="D101" s="289" t="n"/>
      <x:c r="E101" s="289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289" t="n"/>
      <x:c r="B102" s="289" t="n"/>
      <x:c r="C102" s="289" t="n"/>
      <x:c r="D102" s="289" t="n"/>
      <x:c r="E102" s="289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289" t="n"/>
      <x:c r="B103" s="289" t="n"/>
      <x:c r="C103" s="289" t="n"/>
      <x:c r="D103" s="289" t="n"/>
      <x:c r="E103" s="289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289" t="n"/>
      <x:c r="B104" s="289" t="n"/>
      <x:c r="C104" s="289" t="n"/>
      <x:c r="D104" s="289" t="n"/>
      <x:c r="E104" s="289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289" t="n"/>
      <x:c r="B105" s="289" t="n"/>
      <x:c r="C105" s="289" t="n"/>
      <x:c r="D105" s="289" t="n"/>
      <x:c r="E105" s="289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289" t="n"/>
      <x:c r="B106" s="289" t="n"/>
      <x:c r="C106" s="289" t="n"/>
      <x:c r="D106" s="289" t="n"/>
      <x:c r="E106" s="289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289" t="n"/>
      <x:c r="B107" s="289" t="n"/>
      <x:c r="C107" s="289" t="n"/>
      <x:c r="D107" s="289" t="n"/>
      <x:c r="E107" s="289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289" t="n"/>
      <x:c r="B108" s="289" t="n"/>
      <x:c r="C108" s="289" t="n"/>
      <x:c r="D108" s="289" t="n"/>
      <x:c r="E108" s="289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289" t="n"/>
      <x:c r="B109" s="289" t="n"/>
      <x:c r="C109" s="289" t="n"/>
      <x:c r="D109" s="289" t="n"/>
      <x:c r="E109" s="289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289" t="n"/>
      <x:c r="B110" s="289" t="n"/>
      <x:c r="C110" s="289" t="n"/>
      <x:c r="D110" s="289" t="n"/>
      <x:c r="E110" s="289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289" t="n"/>
      <x:c r="B111" s="289" t="n"/>
      <x:c r="C111" s="289" t="n"/>
      <x:c r="D111" s="289" t="n"/>
      <x:c r="E111" s="289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289" t="n"/>
      <x:c r="B112" s="289" t="n"/>
      <x:c r="C112" s="289" t="n"/>
      <x:c r="D112" s="289" t="n"/>
      <x:c r="E112" s="289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289" t="n"/>
      <x:c r="B113" s="289" t="n"/>
      <x:c r="C113" s="289" t="n"/>
      <x:c r="D113" s="289" t="n"/>
      <x:c r="E113" s="289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289" t="n"/>
      <x:c r="B114" s="289" t="n"/>
      <x:c r="C114" s="289" t="n"/>
      <x:c r="D114" s="289" t="n"/>
      <x:c r="E114" s="289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289" t="n"/>
      <x:c r="B115" s="289" t="n"/>
      <x:c r="C115" s="289" t="n"/>
      <x:c r="D115" s="289" t="n"/>
      <x:c r="E115" s="289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289" t="n"/>
      <x:c r="B116" s="289" t="n"/>
      <x:c r="C116" s="289" t="n"/>
      <x:c r="D116" s="289" t="n"/>
      <x:c r="E116" s="289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289" t="n"/>
      <x:c r="B117" s="289" t="n"/>
      <x:c r="C117" s="289" t="n"/>
      <x:c r="D117" s="289" t="n"/>
      <x:c r="E117" s="289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289" t="n"/>
      <x:c r="B118" s="289" t="n"/>
      <x:c r="C118" s="289" t="n"/>
      <x:c r="D118" s="289" t="n"/>
      <x:c r="E118" s="289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289" t="n"/>
      <x:c r="B119" s="289" t="n"/>
      <x:c r="C119" s="289" t="n"/>
      <x:c r="D119" s="289" t="n"/>
      <x:c r="E119" s="289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289" t="n"/>
      <x:c r="B120" s="289" t="n"/>
      <x:c r="C120" s="289" t="n"/>
      <x:c r="D120" s="289" t="n"/>
      <x:c r="E120" s="289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289" t="n"/>
      <x:c r="B121" s="289" t="n"/>
      <x:c r="C121" s="289" t="n"/>
      <x:c r="D121" s="289" t="n"/>
      <x:c r="E121" s="289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289" t="n"/>
      <x:c r="B122" s="289" t="n"/>
      <x:c r="C122" s="289" t="n"/>
      <x:c r="D122" s="289" t="n"/>
      <x:c r="E122" s="289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289" t="n"/>
      <x:c r="B123" s="289" t="n"/>
      <x:c r="C123" s="289" t="n"/>
      <x:c r="D123" s="289" t="n"/>
      <x:c r="E123" s="289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289" t="n"/>
      <x:c r="B124" s="289" t="n"/>
      <x:c r="C124" s="289" t="n"/>
      <x:c r="D124" s="289" t="n"/>
      <x:c r="E124" s="289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289" t="n"/>
      <x:c r="B125" s="289" t="n"/>
      <x:c r="C125" s="289" t="n"/>
      <x:c r="D125" s="289" t="n"/>
      <x:c r="E125" s="289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289" t="n"/>
      <x:c r="B126" s="289" t="n"/>
      <x:c r="C126" s="289" t="n"/>
      <x:c r="D126" s="289" t="n"/>
      <x:c r="E126" s="289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289" t="n"/>
      <x:c r="B127" s="289" t="n"/>
      <x:c r="C127" s="289" t="n"/>
      <x:c r="D127" s="289" t="n"/>
      <x:c r="E127" s="289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289" t="n"/>
      <x:c r="B128" s="289" t="n"/>
      <x:c r="C128" s="289" t="n"/>
      <x:c r="D128" s="289" t="n"/>
      <x:c r="E128" s="289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289" t="n"/>
      <x:c r="B129" s="289" t="n"/>
      <x:c r="C129" s="289" t="n"/>
      <x:c r="D129" s="289" t="n"/>
      <x:c r="E129" s="289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289" t="n"/>
      <x:c r="B130" s="289" t="n"/>
      <x:c r="C130" s="289" t="n"/>
      <x:c r="D130" s="289" t="n"/>
      <x:c r="E130" s="289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289" t="n"/>
      <x:c r="B131" s="289" t="n"/>
      <x:c r="C131" s="289" t="n"/>
      <x:c r="D131" s="289" t="n"/>
      <x:c r="E131" s="289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289" t="n"/>
      <x:c r="B132" s="289" t="n"/>
      <x:c r="C132" s="289" t="n"/>
      <x:c r="D132" s="289" t="n"/>
      <x:c r="E132" s="289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289" t="n"/>
      <x:c r="B133" s="289" t="n"/>
      <x:c r="C133" s="289" t="n"/>
      <x:c r="D133" s="289" t="n"/>
      <x:c r="E133" s="289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289" t="n"/>
      <x:c r="B134" s="289" t="n"/>
      <x:c r="C134" s="289" t="n"/>
      <x:c r="D134" s="289" t="n"/>
      <x:c r="E134" s="289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289" t="n"/>
      <x:c r="B135" s="289" t="n"/>
      <x:c r="C135" s="289" t="n"/>
      <x:c r="D135" s="289" t="n"/>
      <x:c r="E135" s="289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289" t="n"/>
      <x:c r="B136" s="289" t="n"/>
      <x:c r="C136" s="289" t="n"/>
      <x:c r="D136" s="289" t="n"/>
      <x:c r="E136" s="289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289" t="n"/>
      <x:c r="B137" s="289" t="n"/>
      <x:c r="C137" s="289" t="n"/>
      <x:c r="D137" s="289" t="n"/>
      <x:c r="E137" s="289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289" t="n"/>
      <x:c r="B138" s="289" t="n"/>
      <x:c r="C138" s="289" t="n"/>
      <x:c r="D138" s="289" t="n"/>
      <x:c r="E138" s="289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289" t="n"/>
      <x:c r="B139" s="289" t="n"/>
      <x:c r="C139" s="289" t="n"/>
      <x:c r="D139" s="289" t="n"/>
      <x:c r="E139" s="289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289" t="n"/>
      <x:c r="B140" s="289" t="n"/>
      <x:c r="C140" s="289" t="n"/>
      <x:c r="D140" s="289" t="n"/>
      <x:c r="E140" s="289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289" t="n"/>
      <x:c r="B141" s="289" t="n"/>
      <x:c r="C141" s="289" t="n"/>
      <x:c r="D141" s="289" t="n"/>
      <x:c r="E141" s="289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289" t="n"/>
      <x:c r="B142" s="289" t="n"/>
      <x:c r="C142" s="289" t="n"/>
      <x:c r="D142" s="289" t="n"/>
      <x:c r="E142" s="289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289" t="n"/>
      <x:c r="B143" s="289" t="n"/>
      <x:c r="C143" s="289" t="n"/>
      <x:c r="D143" s="289" t="n"/>
      <x:c r="E143" s="289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289" t="n"/>
      <x:c r="B144" s="289" t="n"/>
      <x:c r="C144" s="289" t="n"/>
      <x:c r="D144" s="289" t="n"/>
      <x:c r="E144" s="289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289" t="n"/>
      <x:c r="B145" s="289" t="n"/>
      <x:c r="C145" s="289" t="n"/>
      <x:c r="D145" s="289" t="n"/>
      <x:c r="E145" s="289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289" t="n"/>
      <x:c r="B146" s="289" t="n"/>
      <x:c r="C146" s="289" t="n"/>
      <x:c r="D146" s="289" t="n"/>
      <x:c r="E146" s="289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289" t="n"/>
      <x:c r="B147" s="289" t="n"/>
      <x:c r="C147" s="289" t="n"/>
      <x:c r="D147" s="289" t="n"/>
      <x:c r="E147" s="289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289" t="n"/>
      <x:c r="B148" s="289" t="n"/>
      <x:c r="C148" s="289" t="n"/>
      <x:c r="D148" s="289" t="n"/>
      <x:c r="E148" s="289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289" t="n"/>
      <x:c r="B149" s="289" t="n"/>
      <x:c r="C149" s="289" t="n"/>
      <x:c r="D149" s="289" t="n"/>
      <x:c r="E149" s="289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289" t="n"/>
      <x:c r="B150" s="289" t="n"/>
      <x:c r="C150" s="289" t="n"/>
      <x:c r="D150" s="289" t="n"/>
      <x:c r="E150" s="289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289" t="n"/>
      <x:c r="B151" s="289" t="n"/>
      <x:c r="C151" s="289" t="n"/>
      <x:c r="D151" s="289" t="n"/>
      <x:c r="E151" s="289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289" t="n"/>
      <x:c r="B152" s="289" t="n"/>
      <x:c r="C152" s="289" t="n"/>
      <x:c r="D152" s="289" t="n"/>
      <x:c r="E152" s="289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289" t="n"/>
      <x:c r="B153" s="289" t="n"/>
      <x:c r="C153" s="289" t="n"/>
      <x:c r="D153" s="289" t="n"/>
      <x:c r="E153" s="289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289" t="n"/>
      <x:c r="B154" s="289" t="n"/>
      <x:c r="C154" s="289" t="n"/>
      <x:c r="D154" s="289" t="n"/>
      <x:c r="E154" s="289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289" t="n"/>
      <x:c r="B155" s="289" t="n"/>
      <x:c r="C155" s="289" t="n"/>
      <x:c r="D155" s="289" t="n"/>
      <x:c r="E155" s="289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289" t="n"/>
      <x:c r="B156" s="289" t="n"/>
      <x:c r="C156" s="289" t="n"/>
      <x:c r="D156" s="289" t="n"/>
      <x:c r="E156" s="289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289" t="n"/>
      <x:c r="B157" s="289" t="n"/>
      <x:c r="C157" s="289" t="n"/>
      <x:c r="D157" s="289" t="n"/>
      <x:c r="E157" s="289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289" t="n"/>
      <x:c r="B158" s="289" t="n"/>
      <x:c r="C158" s="289" t="n"/>
      <x:c r="D158" s="289" t="n"/>
      <x:c r="E158" s="289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289" t="n"/>
      <x:c r="B159" s="289" t="n"/>
      <x:c r="C159" s="289" t="n"/>
      <x:c r="D159" s="289" t="n"/>
      <x:c r="E159" s="289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289" t="n"/>
      <x:c r="B160" s="289" t="n"/>
      <x:c r="C160" s="289" t="n"/>
      <x:c r="D160" s="289" t="n"/>
      <x:c r="E160" s="289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289" t="n"/>
      <x:c r="B161" s="289" t="n"/>
      <x:c r="C161" s="289" t="n"/>
      <x:c r="D161" s="289" t="n"/>
      <x:c r="E161" s="289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289" t="n"/>
      <x:c r="B162" s="289" t="n"/>
      <x:c r="C162" s="289" t="n"/>
      <x:c r="D162" s="289" t="n"/>
      <x:c r="E162" s="289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289" t="n"/>
      <x:c r="B163" s="289" t="n"/>
      <x:c r="C163" s="289" t="n"/>
      <x:c r="D163" s="289" t="n"/>
      <x:c r="E163" s="289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289" t="n"/>
      <x:c r="B164" s="289" t="n"/>
      <x:c r="C164" s="289" t="n"/>
      <x:c r="D164" s="289" t="n"/>
      <x:c r="E164" s="289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289" t="n"/>
      <x:c r="B165" s="289" t="n"/>
      <x:c r="C165" s="289" t="n"/>
      <x:c r="D165" s="289" t="n"/>
      <x:c r="E165" s="289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289" t="n"/>
      <x:c r="B166" s="289" t="n"/>
      <x:c r="C166" s="289" t="n"/>
      <x:c r="D166" s="289" t="n"/>
      <x:c r="E166" s="289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289" t="n"/>
      <x:c r="B167" s="289" t="n"/>
      <x:c r="C167" s="289" t="n"/>
      <x:c r="D167" s="289" t="n"/>
      <x:c r="E167" s="289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289" t="n"/>
      <x:c r="B168" s="289" t="n"/>
      <x:c r="C168" s="289" t="n"/>
      <x:c r="D168" s="289" t="n"/>
      <x:c r="E168" s="289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289" t="n"/>
      <x:c r="B169" s="289" t="n"/>
      <x:c r="C169" s="289" t="n"/>
      <x:c r="D169" s="289" t="n"/>
      <x:c r="E169" s="289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289" t="n"/>
      <x:c r="B170" s="289" t="n"/>
      <x:c r="C170" s="289" t="n"/>
      <x:c r="D170" s="289" t="n"/>
      <x:c r="E170" s="289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289" t="n"/>
      <x:c r="B171" s="289" t="n"/>
      <x:c r="C171" s="289" t="n"/>
      <x:c r="D171" s="289" t="n"/>
      <x:c r="E171" s="289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289" t="n"/>
      <x:c r="B172" s="289" t="n"/>
      <x:c r="C172" s="289" t="n"/>
      <x:c r="D172" s="289" t="n"/>
      <x:c r="E172" s="289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289" t="n"/>
      <x:c r="B173" s="289" t="n"/>
      <x:c r="C173" s="289" t="n"/>
      <x:c r="D173" s="289" t="n"/>
      <x:c r="E173" s="289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289" t="n"/>
      <x:c r="B174" s="289" t="n"/>
      <x:c r="C174" s="289" t="n"/>
      <x:c r="D174" s="289" t="n"/>
      <x:c r="E174" s="289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289" t="n"/>
      <x:c r="B175" s="289" t="n"/>
      <x:c r="C175" s="289" t="n"/>
      <x:c r="D175" s="289" t="n"/>
      <x:c r="E175" s="289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289" t="n"/>
      <x:c r="B176" s="289" t="n"/>
      <x:c r="C176" s="289" t="n"/>
      <x:c r="D176" s="289" t="n"/>
      <x:c r="E176" s="289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289" t="n"/>
      <x:c r="B177" s="289" t="n"/>
      <x:c r="C177" s="289" t="n"/>
      <x:c r="D177" s="289" t="n"/>
      <x:c r="E177" s="289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289" t="n"/>
      <x:c r="B178" s="289" t="n"/>
      <x:c r="C178" s="289" t="n"/>
      <x:c r="D178" s="289" t="n"/>
      <x:c r="E178" s="289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289" t="n"/>
      <x:c r="B179" s="289" t="n"/>
      <x:c r="C179" s="289" t="n"/>
      <x:c r="D179" s="289" t="n"/>
      <x:c r="E179" s="289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289" t="n"/>
      <x:c r="B180" s="289" t="n"/>
      <x:c r="C180" s="289" t="n"/>
      <x:c r="D180" s="289" t="n"/>
      <x:c r="E180" s="289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289" t="n"/>
      <x:c r="B181" s="289" t="n"/>
      <x:c r="C181" s="289" t="n"/>
      <x:c r="D181" s="289" t="n"/>
      <x:c r="E181" s="289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289" t="n"/>
      <x:c r="B182" s="289" t="n"/>
      <x:c r="C182" s="289" t="n"/>
      <x:c r="D182" s="289" t="n"/>
      <x:c r="E182" s="289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289" t="n"/>
      <x:c r="B183" s="289" t="n"/>
      <x:c r="C183" s="289" t="n"/>
      <x:c r="D183" s="289" t="n"/>
      <x:c r="E183" s="289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289" t="n"/>
      <x:c r="B184" s="289" t="n"/>
      <x:c r="C184" s="289" t="n"/>
      <x:c r="D184" s="289" t="n"/>
      <x:c r="E184" s="289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289" t="n"/>
      <x:c r="B185" s="289" t="n"/>
      <x:c r="C185" s="289" t="n"/>
      <x:c r="D185" s="289" t="n"/>
      <x:c r="E185" s="289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289" t="n"/>
      <x:c r="B186" s="289" t="n"/>
      <x:c r="C186" s="289" t="n"/>
      <x:c r="D186" s="289" t="n"/>
      <x:c r="E186" s="289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289" t="n"/>
      <x:c r="B187" s="289" t="n"/>
      <x:c r="C187" s="289" t="n"/>
      <x:c r="D187" s="289" t="n"/>
      <x:c r="E187" s="289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289" t="n"/>
      <x:c r="B188" s="289" t="n"/>
      <x:c r="C188" s="289" t="n"/>
      <x:c r="D188" s="289" t="n"/>
      <x:c r="E188" s="289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289" t="n"/>
      <x:c r="B189" s="289" t="n"/>
      <x:c r="C189" s="289" t="n"/>
      <x:c r="D189" s="289" t="n"/>
      <x:c r="E189" s="289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289" t="n"/>
      <x:c r="B190" s="289" t="n"/>
      <x:c r="C190" s="289" t="n"/>
      <x:c r="D190" s="289" t="n"/>
      <x:c r="E190" s="289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289" t="n"/>
      <x:c r="B191" s="289" t="n"/>
      <x:c r="C191" s="289" t="n"/>
      <x:c r="D191" s="289" t="n"/>
      <x:c r="E191" s="289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289" t="n"/>
      <x:c r="B192" s="289" t="n"/>
      <x:c r="C192" s="289" t="n"/>
      <x:c r="D192" s="289" t="n"/>
      <x:c r="E192" s="289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289" t="n"/>
      <x:c r="B193" s="289" t="n"/>
      <x:c r="C193" s="289" t="n"/>
      <x:c r="D193" s="289" t="n"/>
      <x:c r="E193" s="289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289" t="n"/>
      <x:c r="B194" s="289" t="n"/>
      <x:c r="C194" s="289" t="n"/>
      <x:c r="D194" s="289" t="n"/>
      <x:c r="E194" s="289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289" t="n"/>
      <x:c r="B195" s="289" t="n"/>
      <x:c r="C195" s="289" t="n"/>
      <x:c r="D195" s="289" t="n"/>
      <x:c r="E195" s="289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289" t="n"/>
      <x:c r="B196" s="289" t="n"/>
      <x:c r="C196" s="289" t="n"/>
      <x:c r="D196" s="289" t="n"/>
      <x:c r="E196" s="289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289" t="n"/>
      <x:c r="B197" s="289" t="n"/>
      <x:c r="C197" s="289" t="n"/>
      <x:c r="D197" s="289" t="n"/>
      <x:c r="E197" s="289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289" t="n"/>
      <x:c r="B198" s="289" t="n"/>
      <x:c r="C198" s="289" t="n"/>
      <x:c r="D198" s="289" t="n"/>
      <x:c r="E198" s="289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289" t="n"/>
      <x:c r="B199" s="289" t="n"/>
      <x:c r="C199" s="289" t="n"/>
      <x:c r="D199" s="289" t="n"/>
      <x:c r="E199" s="289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289" t="n"/>
      <x:c r="B200" s="289" t="n"/>
      <x:c r="C200" s="289" t="n"/>
      <x:c r="D200" s="289" t="n"/>
      <x:c r="E200" s="289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  <x:drawing xmlns:r="http://schemas.openxmlformats.org/officeDocument/2006/relationships" r:id="R24051acca6954a77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style="62" customWidth="1"/>
    <x:col min="2" max="2" width="22" style="62" customWidth="1"/>
    <x:col min="3" max="3" width="52" style="62" customWidth="1"/>
    <x:col min="4" max="4" width="58" style="62" customWidth="1"/>
    <x:col min="5" max="5" width="15" style="62" customWidth="1"/>
  </x:cols>
  <x:sheetData>
    <x:row r="1" s="62" customFormat="1" ht="30" customHeight="1">
      <x:c r="A1" s="411" t="inlineStr">
        <x:is>
          <x:t xml:space="preserve">Issue</x:t>
        </x:is>
      </x:c>
      <x:c r="B1" s="411" t="inlineStr">
        <x:is>
          <x:t xml:space="preserve">Affected area</x:t>
        </x:is>
      </x:c>
      <x:c r="C1" s="411" t="inlineStr">
        <x:is>
          <x:t xml:space="preserve">What the sources say</x:t>
        </x:is>
      </x:c>
      <x:c r="D1" s="411" t="inlineStr">
        <x:is>
          <x:t xml:space="preserve">Project treatment</x:t>
        </x:is>
      </x:c>
      <x:c r="E1" s="411" t="inlineStr">
        <x:is>
          <x:t xml:space="preserve">Sources</x:t>
        </x:is>
      </x:c>
      <x:c r="F1" s="300" t="n"/>
      <x:c r="G1" s="300" t="n"/>
      <x:c r="H1" s="300" t="n"/>
      <x:c r="I1" s="300" t="n"/>
      <x:c r="J1" s="300" t="n"/>
      <x:c r="K1" s="300" t="n"/>
      <x:c r="L1" s="300" t="n"/>
      <x:c r="M1" s="300" t="n"/>
      <x:c r="N1" s="300" t="n"/>
      <x:c r="O1" s="300" t="n"/>
      <x:c r="P1" s="300" t="n"/>
      <x:c r="Q1" s="300" t="n"/>
      <x:c r="R1" s="300" t="n"/>
      <x:c r="S1" s="300" t="n"/>
      <x:c r="T1" s="300" t="n"/>
      <x:c r="U1" s="300" t="n"/>
      <x:c r="V1" s="300" t="n"/>
      <x:c r="W1" s="300" t="n"/>
      <x:c r="X1" s="300" t="n"/>
      <x:c r="Y1" s="300" t="n"/>
      <x:c r="Z1" s="300" t="n"/>
    </x:row>
    <x:row r="2" s="62" customFormat="1" ht="56" customHeight="1">
      <x:c r="A2" s="419" t="inlineStr">
        <x:is>
          <x:t xml:space="preserve">Debrecen 2025 model discrepancy</x:t>
        </x:is>
      </x:c>
      <x:c r="B2" s="419" t="inlineStr">
        <x:is>
          <x:t xml:space="preserve">2025 series programme</x:t>
        </x:is>
      </x:c>
      <x:c r="C2" s="419" t="inlineStr">
        <x:is>
          <x:t xml:space="preserve">BMW Group Report 2025 lists BMW iX1; BMW's Debrecen launch release and later BMW materials identify BMW iX3 as the first Neue Klasse series-production vehicle.</x:t>
        </x:is>
      </x:c>
      <x:c r="D2" s="419" t="inlineStr">
        <x:is>
          <x:t xml:space="preserve">Debrecen is excluded from the comparable model-site matrix and presented as a source-reconciliation issue rather than forced into one data point.</x:t>
        </x:is>
      </x:c>
      <x:c r="E2" s="419" t="inlineStr">
        <x:is>
          <x:t xml:space="preserve">S1; S4; S14</x:t>
        </x:is>
      </x:c>
      <x:c r="F2" s="289" t="n"/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56" customHeight="1">
      <x:c r="A3" s="420" t="inlineStr">
        <x:is>
          <x:t xml:space="preserve">i3 / iX3 generation naming</x:t>
        </x:is>
      </x:c>
      <x:c r="B3" s="420" t="inlineStr">
        <x:is>
          <x:t xml:space="preserve">Model concentration analysis</x:t>
        </x:is>
      </x:c>
      <x:c r="C3" s="420" t="inlineStr">
        <x:is>
          <x:t xml:space="preserve">BMW uses the same model names across different generations/contexts; 2025 programme entries and 2026 Neue Klasse launches are not automatically the same production asset.</x:t>
        </x:is>
      </x:c>
      <x:c r="D3" s="420" t="inlineStr">
        <x:is>
          <x:t xml:space="preserve">The 2025 matrix is treated as a cross-sectional snapshot; 2026 Neue Klasse launches are overlaid separately.</x:t>
        </x:is>
      </x:c>
      <x:c r="E3" s="420" t="inlineStr">
        <x:is>
          <x:t xml:space="preserve">S1; S6; S14</x:t>
        </x:is>
      </x:c>
      <x:c r="F3" s="289" t="n"/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56" customHeight="1">
      <x:c r="A4" s="419" t="inlineStr">
        <x:is>
          <x:t xml:space="preserve">Shenyang plant-level allocation</x:t>
        </x:is>
      </x:c>
      <x:c r="B4" s="419" t="inlineStr">
        <x:is>
          <x:t xml:space="preserve">China transition</x:t>
        </x:is>
      </x:c>
      <x:c r="C4" s="419" t="inlineStr">
        <x:is>
          <x:t xml:space="preserve">Public BMW sources refer to the Shenyang production complex and local Gen6 batteries but do not consistently identify the exact plant for every Neue Klasse allocation.</x:t>
        </x:is>
      </x:c>
      <x:c r="D4" s="419" t="inlineStr">
        <x:is>
          <x:t xml:space="preserve">The project distinguishes the Shenyang complex from site-specific claims unless a plant is explicitly named.</x:t>
        </x:is>
      </x:c>
      <x:c r="E4" s="419" t="inlineStr">
        <x:is>
          <x:t xml:space="preserve">S1; S3; S14</x:t>
        </x:is>
      </x:c>
      <x:c r="F4" s="289" t="n"/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56" customHeight="1">
      <x:c r="A5" s="420" t="inlineStr">
        <x:is>
          <x:t xml:space="preserve">Public capacity data</x:t>
        </x:is>
      </x:c>
      <x:c r="B5" s="420" t="inlineStr">
        <x:is>
          <x:t xml:space="preserve">All sites</x:t>
        </x:is>
      </x:c>
      <x:c r="C5" s="420" t="inlineStr">
        <x:is>
          <x:t xml:space="preserve">BMW does not publish a comparable current production-capacity or utilisation figure for every site in the selected sources.</x:t>
        </x:is>
      </x:c>
      <x:c r="D5" s="420" t="inlineStr">
        <x:is>
          <x:t xml:space="preserve">No capacity-at-risk calculation is attempted.</x:t>
        </x:is>
      </x:c>
      <x:c r="E5" s="420" t="inlineStr">
        <x:is>
          <x:t xml:space="preserve">S1; S2; S13</x:t>
        </x:is>
      </x:c>
      <x:c r="F5" s="289" t="n"/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56" customHeight="1">
      <x:c r="A6" s="419" t="inlineStr">
        <x:is>
          <x:t xml:space="preserve">Cut-off discipline</x:t>
        </x:is>
      </x:c>
      <x:c r="B6" s="419" t="inlineStr">
        <x:is>
          <x:t xml:space="preserve">Publication status</x:t>
        </x:is>
      </x:c>
      <x:c r="C6" s="419" t="inlineStr">
        <x:is>
          <x:t xml:space="preserve">Core evidence cut-off: 10 Aug 2026; publication date: 28 Aug 2026.</x:t>
        </x:is>
      </x:c>
      <x:c r="D6" s="419" t="inlineStr">
        <x:is>
          <x:t xml:space="preserve">No disclosures after the cut-off are included in the quantitative analysis.</x:t>
        </x:is>
      </x:c>
      <x:c r="E6" s="419" t="inlineStr">
        <x:is>
          <x:t xml:space="preserve">Project metadata</x:t>
        </x:is>
      </x:c>
      <x:c r="F6" s="289" t="n"/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>
      <x:c r="A7" s="113" t="n"/>
      <x:c r="B7" s="113" t="n"/>
      <x:c r="C7" s="113" t="n"/>
      <x:c r="D7" s="113" t="n"/>
      <x:c r="E7" s="113" t="n"/>
      <x:c r="F7" s="289" t="n"/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>
      <x:c r="A8" s="113" t="n"/>
      <x:c r="B8" s="113" t="n"/>
      <x:c r="C8" s="113" t="n"/>
      <x:c r="D8" s="113" t="n"/>
      <x:c r="E8" s="113" t="n"/>
      <x:c r="F8" s="289" t="n"/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>
      <x:c r="A9" s="113" t="n"/>
      <x:c r="B9" s="113" t="n"/>
      <x:c r="C9" s="113" t="n"/>
      <x:c r="D9" s="113" t="n"/>
      <x:c r="E9" s="113" t="n"/>
      <x:c r="F9" s="289" t="n"/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>
      <x:c r="A10" s="113" t="n"/>
      <x:c r="B10" s="113" t="n"/>
      <x:c r="C10" s="113" t="n"/>
      <x:c r="D10" s="113" t="n"/>
      <x:c r="E10" s="113" t="n"/>
      <x:c r="F10" s="289" t="n"/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>
      <x:c r="A11" s="113" t="n"/>
      <x:c r="B11" s="113" t="n"/>
      <x:c r="C11" s="113" t="n"/>
      <x:c r="D11" s="113" t="n"/>
      <x:c r="E11" s="113" t="n"/>
      <x:c r="F11" s="289" t="n"/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>
      <x:c r="A12" s="113" t="n"/>
      <x:c r="B12" s="113" t="n"/>
      <x:c r="C12" s="113" t="n"/>
      <x:c r="D12" s="113" t="n"/>
      <x:c r="E12" s="113" t="n"/>
      <x:c r="F12" s="289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>
      <x:c r="A13" s="113" t="n"/>
      <x:c r="B13" s="113" t="n"/>
      <x:c r="C13" s="113" t="n"/>
      <x:c r="D13" s="113" t="n"/>
      <x:c r="E13" s="113" t="n"/>
      <x:c r="F13" s="289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>
      <x:c r="A14" s="113" t="n"/>
      <x:c r="B14" s="113" t="n"/>
      <x:c r="C14" s="113" t="n"/>
      <x:c r="D14" s="113" t="n"/>
      <x:c r="E14" s="113" t="n"/>
      <x:c r="F14" s="289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>
      <x:c r="A15" s="113" t="n"/>
      <x:c r="B15" s="113" t="n"/>
      <x:c r="C15" s="113" t="n"/>
      <x:c r="D15" s="113" t="n"/>
      <x:c r="E15" s="113" t="n"/>
      <x:c r="F15" s="289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113" t="n"/>
      <x:c r="B16" s="113" t="n"/>
      <x:c r="C16" s="113" t="n"/>
      <x:c r="D16" s="113" t="n"/>
      <x:c r="E16" s="113" t="n"/>
      <x:c r="F16" s="289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113" t="n"/>
      <x:c r="B17" s="113" t="n"/>
      <x:c r="C17" s="113" t="n"/>
      <x:c r="D17" s="113" t="n"/>
      <x:c r="E17" s="113" t="n"/>
      <x:c r="F17" s="289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113" t="n"/>
      <x:c r="B18" s="113" t="n"/>
      <x:c r="C18" s="113" t="n"/>
      <x:c r="D18" s="113" t="n"/>
      <x:c r="E18" s="113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113" t="n"/>
      <x:c r="B19" s="113" t="n"/>
      <x:c r="C19" s="113" t="n"/>
      <x:c r="D19" s="113" t="n"/>
      <x:c r="E19" s="113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113" t="n"/>
      <x:c r="B20" s="113" t="n"/>
      <x:c r="C20" s="113" t="n"/>
      <x:c r="D20" s="113" t="n"/>
      <x:c r="E20" s="113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113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113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113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113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113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113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113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113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113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113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113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113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113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113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113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113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113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113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113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113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113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113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113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113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113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113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113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113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113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113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113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113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113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113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113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113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113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113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113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113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113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113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113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113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113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113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113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113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113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113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113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113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113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113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113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113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113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113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113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113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113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113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113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113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113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113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113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113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113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113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113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113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113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113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113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113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113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113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113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113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113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113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113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113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113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113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113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113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113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113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113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113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113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113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113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113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113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113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113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113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113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113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113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113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113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113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113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113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113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113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113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113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113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113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113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113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113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113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113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113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113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113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113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113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113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113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113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113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113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113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113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113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113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113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113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113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113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113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113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113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113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113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113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113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113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113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113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113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113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113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113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113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113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113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113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113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113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113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113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113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113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113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113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113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113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113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113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113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113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113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113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113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113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113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113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113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113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113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113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113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style="62" customWidth="1"/>
    <x:col min="2" max="2" width="80" style="62" customWidth="1"/>
    <x:col min="3" max="3" width="24" style="62" customWidth="1"/>
    <x:col min="4" max="4" width="48" style="62" customWidth="1"/>
  </x:cols>
  <x:sheetData>
    <x:row r="1" s="62" customFormat="1" ht="28" customHeight="1">
      <x:c r="A1" s="547" t="str">
        <x:v>BMW Production Network &amp; Working Capital Analysis</x:v>
      </x:c>
      <x:c r="B1" s="1" t="n"/>
      <x:c r="C1" s="121" t="n"/>
      <x:c r="D1" s="121" t="n"/>
      <x:c r="E1" s="289" t="n"/>
      <x:c r="F1" s="289" t="n"/>
      <x:c r="G1" s="289" t="n"/>
      <x:c r="H1" s="289" t="n"/>
      <x:c r="I1" s="289" t="n"/>
      <x:c r="J1" s="289" t="n"/>
      <x:c r="K1" s="289" t="n"/>
      <x:c r="L1" s="289" t="n"/>
      <x:c r="M1" s="289" t="n"/>
      <x:c r="N1" s="289" t="n"/>
      <x:c r="O1" s="289" t="n"/>
      <x:c r="P1" s="289" t="n"/>
      <x:c r="Q1" s="289" t="n"/>
      <x:c r="R1" s="289" t="n"/>
      <x:c r="S1" s="289" t="n"/>
      <x:c r="T1" s="289" t="n"/>
      <x:c r="U1" s="289" t="n"/>
      <x:c r="V1" s="289" t="n"/>
      <x:c r="W1" s="289" t="n"/>
      <x:c r="X1" s="289" t="n"/>
      <x:c r="Y1" s="289" t="n"/>
      <x:c r="Z1" s="289" t="n"/>
    </x:row>
    <x:row r="2" s="62" customFormat="1" ht="38" customHeight="1">
      <x:c r="A2" s="518" t="inlineStr">
        <x:is>
          <x:t xml:space="preserve">Publication status</x:t>
        </x:is>
      </x:c>
      <x:c r="B2" s="513" t="inlineStr">
        <x:is>
          <x:t xml:space="preserve">Core evidence cut-off: 10 August 2026 | Publication date: 28 August 2026</x:t>
        </x:is>
      </x:c>
      <x:c r="C2" s="113" t="n"/>
      <x:c r="D2" s="113" t="n"/>
      <x:c r="E2" s="289" t="n"/>
      <x:c r="F2" s="289" t="n"/>
      <x:c r="G2" s="289" t="n"/>
      <x:c r="H2" s="289" t="n"/>
      <x:c r="I2" s="289" t="n"/>
      <x:c r="J2" s="289" t="n"/>
      <x:c r="K2" s="289" t="n"/>
      <x:c r="L2" s="289" t="n"/>
      <x:c r="M2" s="289" t="n"/>
      <x:c r="N2" s="289" t="n"/>
      <x:c r="O2" s="289" t="n"/>
      <x:c r="P2" s="289" t="n"/>
      <x:c r="Q2" s="289" t="n"/>
      <x:c r="R2" s="289" t="n"/>
      <x:c r="S2" s="289" t="n"/>
      <x:c r="T2" s="289" t="n"/>
      <x:c r="U2" s="289" t="n"/>
      <x:c r="V2" s="289" t="n"/>
      <x:c r="W2" s="289" t="n"/>
      <x:c r="X2" s="289" t="n"/>
      <x:c r="Y2" s="289" t="n"/>
      <x:c r="Z2" s="289" t="n"/>
    </x:row>
    <x:row r="3" s="62" customFormat="1" ht="38" customHeight="1">
      <x:c r="A3" s="518" t="inlineStr">
        <x:is>
          <x:t xml:space="preserve">Author</x:t>
        </x:is>
      </x:c>
      <x:c r="B3" s="513" t="inlineStr">
        <x:is>
          <x:t xml:space="preserve">Jaineel Patel</x:t>
        </x:is>
      </x:c>
      <x:c r="C3" s="113" t="n"/>
      <x:c r="D3" s="113" t="n"/>
      <x:c r="E3" s="289" t="n"/>
      <x:c r="F3" s="289" t="n"/>
      <x:c r="G3" s="289" t="n"/>
      <x:c r="H3" s="289" t="n"/>
      <x:c r="I3" s="289" t="n"/>
      <x:c r="J3" s="289" t="n"/>
      <x:c r="K3" s="289" t="n"/>
      <x:c r="L3" s="289" t="n"/>
      <x:c r="M3" s="289" t="n"/>
      <x:c r="N3" s="289" t="n"/>
      <x:c r="O3" s="289" t="n"/>
      <x:c r="P3" s="289" t="n"/>
      <x:c r="Q3" s="289" t="n"/>
      <x:c r="R3" s="289" t="n"/>
      <x:c r="S3" s="289" t="n"/>
      <x:c r="T3" s="289" t="n"/>
      <x:c r="U3" s="289" t="n"/>
      <x:c r="V3" s="289" t="n"/>
      <x:c r="W3" s="289" t="n"/>
      <x:c r="X3" s="289" t="n"/>
      <x:c r="Y3" s="289" t="n"/>
      <x:c r="Z3" s="289" t="n"/>
    </x:row>
    <x:row r="4" s="62" customFormat="1" ht="38" customHeight="1">
      <x:c r="A4" s="518" t="inlineStr">
        <x:is>
          <x:t xml:space="preserve">Research completed</x:t>
        </x:is>
      </x:c>
      <x:c r="B4" s="513" t="inlineStr">
        <x:is>
          <x:t xml:space="preserve">10 August 2026</x:t>
        </x:is>
      </x:c>
      <x:c r="C4" s="113" t="n"/>
      <x:c r="D4" s="113" t="n"/>
      <x:c r="E4" s="289" t="n"/>
      <x:c r="F4" s="289" t="n"/>
      <x:c r="G4" s="289" t="n"/>
      <x:c r="H4" s="289" t="n"/>
      <x:c r="I4" s="289" t="n"/>
      <x:c r="J4" s="289" t="n"/>
      <x:c r="K4" s="289" t="n"/>
      <x:c r="L4" s="289" t="n"/>
      <x:c r="M4" s="289" t="n"/>
      <x:c r="N4" s="289" t="n"/>
      <x:c r="O4" s="289" t="n"/>
      <x:c r="P4" s="289" t="n"/>
      <x:c r="Q4" s="289" t="n"/>
      <x:c r="R4" s="289" t="n"/>
      <x:c r="S4" s="289" t="n"/>
      <x:c r="T4" s="289" t="n"/>
      <x:c r="U4" s="289" t="n"/>
      <x:c r="V4" s="289" t="n"/>
      <x:c r="W4" s="289" t="n"/>
      <x:c r="X4" s="289" t="n"/>
      <x:c r="Y4" s="289" t="n"/>
      <x:c r="Z4" s="289" t="n"/>
    </x:row>
    <x:row r="5" s="62" customFormat="1" ht="38" customHeight="1">
      <x:c r="A5" s="518" t="inlineStr">
        <x:is>
          <x:t xml:space="preserve">Core evidence cut-off</x:t>
        </x:is>
      </x:c>
      <x:c r="B5" s="513" t="inlineStr">
        <x:is>
          <x:t xml:space="preserve">10 August 2026</x:t>
        </x:is>
      </x:c>
      <x:c r="C5" s="113" t="n"/>
      <x:c r="D5" s="113" t="n"/>
      <x:c r="E5" s="289" t="n"/>
      <x:c r="F5" s="289" t="n"/>
      <x:c r="G5" s="289" t="n"/>
      <x:c r="H5" s="289" t="n"/>
      <x:c r="I5" s="289" t="n"/>
      <x:c r="J5" s="289" t="n"/>
      <x:c r="K5" s="289" t="n"/>
      <x:c r="L5" s="289" t="n"/>
      <x:c r="M5" s="289" t="n"/>
      <x:c r="N5" s="289" t="n"/>
      <x:c r="O5" s="289" t="n"/>
      <x:c r="P5" s="289" t="n"/>
      <x:c r="Q5" s="289" t="n"/>
      <x:c r="R5" s="289" t="n"/>
      <x:c r="S5" s="289" t="n"/>
      <x:c r="T5" s="289" t="n"/>
      <x:c r="U5" s="289" t="n"/>
      <x:c r="V5" s="289" t="n"/>
      <x:c r="W5" s="289" t="n"/>
      <x:c r="X5" s="289" t="n"/>
      <x:c r="Y5" s="289" t="n"/>
      <x:c r="Z5" s="289" t="n"/>
    </x:row>
    <x:row r="6" s="62" customFormat="1" ht="38" customHeight="1">
      <x:c r="A6" s="518" t="inlineStr">
        <x:is>
          <x:t xml:space="preserve">Publication date</x:t>
        </x:is>
      </x:c>
      <x:c r="B6" s="513" t="inlineStr">
        <x:is>
          <x:t xml:space="preserve">28 August 2026</x:t>
        </x:is>
      </x:c>
      <x:c r="C6" s="113" t="n"/>
      <x:c r="D6" s="113" t="n"/>
      <x:c r="E6" s="289" t="n"/>
      <x:c r="F6" s="289" t="n"/>
      <x:c r="G6" s="289" t="n"/>
      <x:c r="H6" s="289" t="n"/>
      <x:c r="I6" s="289" t="n"/>
      <x:c r="J6" s="289" t="n"/>
      <x:c r="K6" s="289" t="n"/>
      <x:c r="L6" s="289" t="n"/>
      <x:c r="M6" s="289" t="n"/>
      <x:c r="N6" s="289" t="n"/>
      <x:c r="O6" s="289" t="n"/>
      <x:c r="P6" s="289" t="n"/>
      <x:c r="Q6" s="289" t="n"/>
      <x:c r="R6" s="289" t="n"/>
      <x:c r="S6" s="289" t="n"/>
      <x:c r="T6" s="289" t="n"/>
      <x:c r="U6" s="289" t="n"/>
      <x:c r="V6" s="289" t="n"/>
      <x:c r="W6" s="289" t="n"/>
      <x:c r="X6" s="289" t="n"/>
      <x:c r="Y6" s="289" t="n"/>
      <x:c r="Z6" s="289" t="n"/>
    </x:row>
    <x:row r="7" s="62" customFormat="1" ht="38" customHeight="1">
      <x:c r="A7" s="518" t="inlineStr">
        <x:is>
          <x:t xml:space="preserve">Purpose</x:t>
        </x:is>
      </x:c>
      <x:c r="B7" s="513" t="inlineStr">
        <x:is>
          <x:t xml:space="preserve">Independent research using publicly available BMW Group disclosures.</x:t>
        </x:is>
      </x:c>
      <x:c r="C7" s="113" t="n"/>
      <x:c r="D7" s="113" t="n"/>
      <x:c r="E7" s="289" t="n"/>
      <x:c r="F7" s="289" t="n"/>
      <x:c r="G7" s="289" t="n"/>
      <x:c r="H7" s="289" t="n"/>
      <x:c r="I7" s="289" t="n"/>
      <x:c r="J7" s="289" t="n"/>
      <x:c r="K7" s="289" t="n"/>
      <x:c r="L7" s="289" t="n"/>
      <x:c r="M7" s="289" t="n"/>
      <x:c r="N7" s="289" t="n"/>
      <x:c r="O7" s="289" t="n"/>
      <x:c r="P7" s="289" t="n"/>
      <x:c r="Q7" s="289" t="n"/>
      <x:c r="R7" s="289" t="n"/>
      <x:c r="S7" s="289" t="n"/>
      <x:c r="T7" s="289" t="n"/>
      <x:c r="U7" s="289" t="n"/>
      <x:c r="V7" s="289" t="n"/>
      <x:c r="W7" s="289" t="n"/>
      <x:c r="X7" s="289" t="n"/>
      <x:c r="Y7" s="289" t="n"/>
      <x:c r="Z7" s="289" t="n"/>
    </x:row>
    <x:row r="8" s="62" customFormat="1" ht="38" customHeight="1">
      <x:c r="A8" s="518" t="inlineStr">
        <x:is>
          <x:t xml:space="preserve">Main question</x:t>
        </x:is>
      </x:c>
      <x:c r="B8" s="513" t="inlineStr">
        <x:is>
          <x:t xml:space="preserve">How is BMW changing the architecture of its production network for Neue Klasse, and where does the transition create new concentration and coordination issues?</x:t>
        </x:is>
      </x:c>
      <x:c r="C8" s="113" t="n"/>
      <x:c r="D8" s="113" t="n"/>
      <x:c r="E8" s="289" t="n"/>
      <x:c r="F8" s="289" t="n"/>
      <x:c r="G8" s="289" t="n"/>
      <x:c r="H8" s="289" t="n"/>
      <x:c r="I8" s="289" t="n"/>
      <x:c r="J8" s="289" t="n"/>
      <x:c r="K8" s="289" t="n"/>
      <x:c r="L8" s="289" t="n"/>
      <x:c r="M8" s="289" t="n"/>
      <x:c r="N8" s="289" t="n"/>
      <x:c r="O8" s="289" t="n"/>
      <x:c r="P8" s="289" t="n"/>
      <x:c r="Q8" s="289" t="n"/>
      <x:c r="R8" s="289" t="n"/>
      <x:c r="S8" s="289" t="n"/>
      <x:c r="T8" s="289" t="n"/>
      <x:c r="U8" s="289" t="n"/>
      <x:c r="V8" s="289" t="n"/>
      <x:c r="W8" s="289" t="n"/>
      <x:c r="X8" s="289" t="n"/>
      <x:c r="Y8" s="289" t="n"/>
      <x:c r="Z8" s="289" t="n"/>
    </x:row>
    <x:row r="9" s="62" customFormat="1" ht="38" customHeight="1">
      <x:c r="A9" s="518" t="inlineStr">
        <x:is>
          <x:t xml:space="preserve">Main analytical output</x:t>
        </x:is>
      </x:c>
      <x:c r="B9" s="513" t="inlineStr">
        <x:is>
          <x:t xml:space="preserve">A plant-to-model network matrix, transition overlay, battery-node analysis and supporting H1 2026 financial signal.</x:t>
        </x:is>
      </x:c>
      <x:c r="C9" s="113" t="n"/>
      <x:c r="D9" s="113" t="n"/>
      <x:c r="E9" s="289" t="n"/>
      <x:c r="F9" s="289" t="n"/>
      <x:c r="G9" s="289" t="n"/>
      <x:c r="H9" s="289" t="n"/>
      <x:c r="I9" s="289" t="n"/>
      <x:c r="J9" s="289" t="n"/>
      <x:c r="K9" s="289" t="n"/>
      <x:c r="L9" s="289" t="n"/>
      <x:c r="M9" s="289" t="n"/>
      <x:c r="N9" s="289" t="n"/>
      <x:c r="O9" s="289" t="n"/>
      <x:c r="P9" s="289" t="n"/>
      <x:c r="Q9" s="289" t="n"/>
      <x:c r="R9" s="289" t="n"/>
      <x:c r="S9" s="289" t="n"/>
      <x:c r="T9" s="289" t="n"/>
      <x:c r="U9" s="289" t="n"/>
      <x:c r="V9" s="289" t="n"/>
      <x:c r="W9" s="289" t="n"/>
      <x:c r="X9" s="289" t="n"/>
      <x:c r="Y9" s="289" t="n"/>
      <x:c r="Z9" s="289" t="n"/>
    </x:row>
    <x:row r="10" s="62" customFormat="1" ht="38" customHeight="1">
      <x:c r="A10" s="518" t="inlineStr">
        <x:is>
          <x:t xml:space="preserve">Important limitation</x:t>
        </x:is>
      </x:c>
      <x:c r="B10" s="513" t="inlineStr">
        <x:is>
          <x:t xml:space="preserve">This workbook does not contain BMW internal data, capacity plans, utilisation rates, plant-level inventory, internal schedules or confidential information.</x:t>
        </x:is>
      </x:c>
      <x:c r="C10" s="113" t="n"/>
      <x:c r="D10" s="113" t="n"/>
      <x:c r="E10" s="289" t="n"/>
      <x:c r="F10" s="289" t="n"/>
      <x:c r="G10" s="289" t="n"/>
      <x:c r="H10" s="289" t="n"/>
      <x:c r="I10" s="289" t="n"/>
      <x:c r="J10" s="289" t="n"/>
      <x:c r="K10" s="289" t="n"/>
      <x:c r="L10" s="289" t="n"/>
      <x:c r="M10" s="289" t="n"/>
      <x:c r="N10" s="289" t="n"/>
      <x:c r="O10" s="289" t="n"/>
      <x:c r="P10" s="289" t="n"/>
      <x:c r="Q10" s="289" t="n"/>
      <x:c r="R10" s="289" t="n"/>
      <x:c r="S10" s="289" t="n"/>
      <x:c r="T10" s="289" t="n"/>
      <x:c r="U10" s="289" t="n"/>
      <x:c r="V10" s="289" t="n"/>
      <x:c r="W10" s="289" t="n"/>
      <x:c r="X10" s="289" t="n"/>
      <x:c r="Y10" s="289" t="n"/>
      <x:c r="Z10" s="289" t="n"/>
    </x:row>
    <x:row r="11" s="62" customFormat="1" ht="38" customHeight="1">
      <x:c r="A11" s="518" t="inlineStr">
        <x:is>
          <x:t xml:space="preserve">Classification rule</x:t>
        </x:is>
      </x:c>
      <x:c r="B11" s="513" t="inlineStr">
        <x:is>
          <x:t xml:space="preserve">Reported = BMW-published fact; Calculated = formula derived from reported inputs; Inference = project interpretation; Drivetrain breadth = public-data proxy, not a direct flexibility metric.</x:t>
        </x:is>
      </x:c>
      <x:c r="C11" s="113" t="n"/>
      <x:c r="D11" s="113" t="n"/>
      <x:c r="E11" s="289" t="n"/>
      <x:c r="F11" s="289" t="n"/>
      <x:c r="G11" s="289" t="n"/>
      <x:c r="H11" s="289" t="n"/>
      <x:c r="I11" s="289" t="n"/>
      <x:c r="J11" s="289" t="n"/>
      <x:c r="K11" s="289" t="n"/>
      <x:c r="L11" s="289" t="n"/>
      <x:c r="M11" s="289" t="n"/>
      <x:c r="N11" s="289" t="n"/>
      <x:c r="O11" s="289" t="n"/>
      <x:c r="P11" s="289" t="n"/>
      <x:c r="Q11" s="289" t="n"/>
      <x:c r="R11" s="289" t="n"/>
      <x:c r="S11" s="289" t="n"/>
      <x:c r="T11" s="289" t="n"/>
      <x:c r="U11" s="289" t="n"/>
      <x:c r="V11" s="289" t="n"/>
      <x:c r="W11" s="289" t="n"/>
      <x:c r="X11" s="289" t="n"/>
      <x:c r="Y11" s="289" t="n"/>
      <x:c r="Z11" s="289" t="n"/>
    </x:row>
    <x:row r="12" s="62" customFormat="1" ht="38" customHeight="1">
      <x:c r="A12" s="518" t="inlineStr">
        <x:is>
          <x:t xml:space="preserve">Tools</x:t>
        </x:is>
      </x:c>
      <x:c r="B12" s="513" t="inlineStr">
        <x:is>
          <x:t xml:space="preserve">Microsoft Excel for data preparation, formula modelling, charts and visual analysis.</x:t>
        </x:is>
      </x:c>
      <x:c r="C12" s="113" t="n"/>
      <x:c r="D12" s="113" t="n"/>
      <x:c r="E12" s="289" t="n"/>
      <x:c r="F12" s="289" t="n"/>
      <x:c r="G12" s="289" t="n"/>
      <x:c r="H12" s="289" t="n"/>
      <x:c r="I12" s="289" t="n"/>
      <x:c r="J12" s="289" t="n"/>
      <x:c r="K12" s="289" t="n"/>
      <x:c r="L12" s="289" t="n"/>
      <x:c r="M12" s="289" t="n"/>
      <x:c r="N12" s="289" t="n"/>
      <x:c r="O12" s="289" t="n"/>
      <x:c r="P12" s="289" t="n"/>
      <x:c r="Q12" s="289" t="n"/>
      <x:c r="R12" s="289" t="n"/>
      <x:c r="S12" s="289" t="n"/>
      <x:c r="T12" s="289" t="n"/>
      <x:c r="U12" s="289" t="n"/>
      <x:c r="V12" s="289" t="n"/>
      <x:c r="W12" s="289" t="n"/>
      <x:c r="X12" s="289" t="n"/>
      <x:c r="Y12" s="289" t="n"/>
      <x:c r="Z12" s="289" t="n"/>
    </x:row>
    <x:row r="13" s="62" customFormat="1" ht="38" customHeight="1">
      <x:c r="A13" s="518" t="inlineStr">
        <x:is>
          <x:t xml:space="preserve">AI assistance</x:t>
        </x:is>
      </x:c>
      <x:c r="B13" s="513" t="inlineStr">
        <x:is>
          <x:t xml:space="preserve">Generative AI tools were used for limited research organisation, language editing and formatting. Source verification, dataset construction, calculations and final analytical conclusions were reviewed by the author.</x:t>
        </x:is>
      </x:c>
      <x:c r="C13" s="113" t="n"/>
      <x:c r="D13" s="113" t="n"/>
      <x:c r="E13" s="289" t="n"/>
      <x:c r="F13" s="289" t="n"/>
      <x:c r="G13" s="289" t="n"/>
      <x:c r="H13" s="289" t="n"/>
      <x:c r="I13" s="289" t="n"/>
      <x:c r="J13" s="289" t="n"/>
      <x:c r="K13" s="289" t="n"/>
      <x:c r="L13" s="289" t="n"/>
      <x:c r="M13" s="289" t="n"/>
      <x:c r="N13" s="289" t="n"/>
      <x:c r="O13" s="289" t="n"/>
      <x:c r="P13" s="289" t="n"/>
      <x:c r="Q13" s="289" t="n"/>
      <x:c r="R13" s="289" t="n"/>
      <x:c r="S13" s="289" t="n"/>
      <x:c r="T13" s="289" t="n"/>
      <x:c r="U13" s="289" t="n"/>
      <x:c r="V13" s="289" t="n"/>
      <x:c r="W13" s="289" t="n"/>
      <x:c r="X13" s="289" t="n"/>
      <x:c r="Y13" s="289" t="n"/>
      <x:c r="Z13" s="289" t="n"/>
    </x:row>
    <x:row r="14" s="62" customFormat="1" ht="38" customHeight="1">
      <x:c r="A14" s="518" t="inlineStr">
        <x:is>
          <x:t xml:space="preserve">Publication boundary</x:t>
        </x:is>
      </x:c>
      <x:c r="B14" s="513" t="inlineStr">
        <x:is>
          <x:t xml:space="preserve">The quantitative baseline is frozen at the 10 August 2026 evidence cut-off. No disclosures published after the cut-off are included.</x:t>
        </x:is>
      </x:c>
      <x:c r="C14" s="113" t="n"/>
      <x:c r="D14" s="113" t="n"/>
      <x:c r="E14" s="289" t="n"/>
      <x:c r="F14" s="289" t="n"/>
      <x:c r="G14" s="289" t="n"/>
      <x:c r="H14" s="289" t="n"/>
      <x:c r="I14" s="289" t="n"/>
      <x:c r="J14" s="289" t="n"/>
      <x:c r="K14" s="289" t="n"/>
      <x:c r="L14" s="289" t="n"/>
      <x:c r="M14" s="289" t="n"/>
      <x:c r="N14" s="289" t="n"/>
      <x:c r="O14" s="289" t="n"/>
      <x:c r="P14" s="289" t="n"/>
      <x:c r="Q14" s="289" t="n"/>
      <x:c r="R14" s="289" t="n"/>
      <x:c r="S14" s="289" t="n"/>
      <x:c r="T14" s="289" t="n"/>
      <x:c r="U14" s="289" t="n"/>
      <x:c r="V14" s="289" t="n"/>
      <x:c r="W14" s="289" t="n"/>
      <x:c r="X14" s="289" t="n"/>
      <x:c r="Y14" s="289" t="n"/>
      <x:c r="Z14" s="289" t="n"/>
    </x:row>
    <x:row r="15" s="62" customFormat="1" ht="38" customHeight="1">
      <x:c r="A15" s="518" t="inlineStr">
        <x:is>
          <x:t xml:space="preserve">Legal / branding note</x:t>
        </x:is>
      </x:c>
      <x:c r="B15" s="513" t="inlineStr">
        <x:is>
          <x:t xml:space="preserve">BMW, MINI, Neue Klasse and model names are used only for identification and analytical reference; no affiliation or endorsement is implied. No BMW logo or promotional imagery is included.</x:t>
        </x:is>
      </x:c>
      <x:c r="C15" s="113" t="n"/>
      <x:c r="D15" s="113" t="n"/>
      <x:c r="E15" s="289" t="n"/>
      <x:c r="F15" s="289" t="n"/>
      <x:c r="G15" s="289" t="n"/>
      <x:c r="H15" s="289" t="n"/>
      <x:c r="I15" s="289" t="n"/>
      <x:c r="J15" s="289" t="n"/>
      <x:c r="K15" s="289" t="n"/>
      <x:c r="L15" s="289" t="n"/>
      <x:c r="M15" s="289" t="n"/>
      <x:c r="N15" s="289" t="n"/>
      <x:c r="O15" s="289" t="n"/>
      <x:c r="P15" s="289" t="n"/>
      <x:c r="Q15" s="289" t="n"/>
      <x:c r="R15" s="289" t="n"/>
      <x:c r="S15" s="289" t="n"/>
      <x:c r="T15" s="289" t="n"/>
      <x:c r="U15" s="289" t="n"/>
      <x:c r="V15" s="289" t="n"/>
      <x:c r="W15" s="289" t="n"/>
      <x:c r="X15" s="289" t="n"/>
      <x:c r="Y15" s="289" t="n"/>
      <x:c r="Z15" s="289" t="n"/>
    </x:row>
    <x:row r="16">
      <x:c r="A16" s="113" t="n"/>
      <x:c r="B16" s="113" t="n"/>
      <x:c r="C16" s="113" t="n"/>
      <x:c r="D16" s="113" t="n"/>
      <x:c r="E16" s="289" t="n"/>
      <x:c r="F16" s="289" t="n"/>
      <x:c r="G16" s="289" t="n"/>
      <x:c r="H16" s="289" t="n"/>
      <x:c r="I16" s="289" t="n"/>
      <x:c r="J16" s="289" t="n"/>
      <x:c r="K16" s="289" t="n"/>
      <x:c r="L16" s="289" t="n"/>
      <x:c r="M16" s="289" t="n"/>
      <x:c r="N16" s="289" t="n"/>
      <x:c r="O16" s="289" t="n"/>
      <x:c r="P16" s="289" t="n"/>
      <x:c r="Q16" s="289" t="n"/>
      <x:c r="R16" s="289" t="n"/>
      <x:c r="S16" s="289" t="n"/>
      <x:c r="T16" s="289" t="n"/>
      <x:c r="U16" s="289" t="n"/>
      <x:c r="V16" s="289" t="n"/>
      <x:c r="W16" s="289" t="n"/>
      <x:c r="X16" s="289" t="n"/>
      <x:c r="Y16" s="289" t="n"/>
      <x:c r="Z16" s="289" t="n"/>
    </x:row>
    <x:row r="17">
      <x:c r="A17" s="113" t="n"/>
      <x:c r="B17" s="113" t="n"/>
      <x:c r="C17" s="113" t="n"/>
      <x:c r="D17" s="113" t="n"/>
      <x:c r="E17" s="289" t="n"/>
      <x:c r="F17" s="289" t="n"/>
      <x:c r="G17" s="289" t="n"/>
      <x:c r="H17" s="289" t="n"/>
      <x:c r="I17" s="289" t="n"/>
      <x:c r="J17" s="289" t="n"/>
      <x:c r="K17" s="289" t="n"/>
      <x:c r="L17" s="289" t="n"/>
      <x:c r="M17" s="289" t="n"/>
      <x:c r="N17" s="289" t="n"/>
      <x:c r="O17" s="289" t="n"/>
      <x:c r="P17" s="289" t="n"/>
      <x:c r="Q17" s="289" t="n"/>
      <x:c r="R17" s="289" t="n"/>
      <x:c r="S17" s="289" t="n"/>
      <x:c r="T17" s="289" t="n"/>
      <x:c r="U17" s="289" t="n"/>
      <x:c r="V17" s="289" t="n"/>
      <x:c r="W17" s="289" t="n"/>
      <x:c r="X17" s="289" t="n"/>
      <x:c r="Y17" s="289" t="n"/>
      <x:c r="Z17" s="289" t="n"/>
    </x:row>
    <x:row r="18">
      <x:c r="A18" s="113" t="n"/>
      <x:c r="B18" s="113" t="n"/>
      <x:c r="C18" s="113" t="n"/>
      <x:c r="D18" s="113" t="n"/>
      <x:c r="E18" s="289" t="n"/>
      <x:c r="F18" s="289" t="n"/>
      <x:c r="G18" s="289" t="n"/>
      <x:c r="H18" s="289" t="n"/>
      <x:c r="I18" s="289" t="n"/>
      <x:c r="J18" s="289" t="n"/>
      <x:c r="K18" s="289" t="n"/>
      <x:c r="L18" s="289" t="n"/>
      <x:c r="M18" s="289" t="n"/>
      <x:c r="N18" s="289" t="n"/>
      <x:c r="O18" s="289" t="n"/>
      <x:c r="P18" s="289" t="n"/>
      <x:c r="Q18" s="289" t="n"/>
      <x:c r="R18" s="289" t="n"/>
      <x:c r="S18" s="289" t="n"/>
      <x:c r="T18" s="289" t="n"/>
      <x:c r="U18" s="289" t="n"/>
      <x:c r="V18" s="289" t="n"/>
      <x:c r="W18" s="289" t="n"/>
      <x:c r="X18" s="289" t="n"/>
      <x:c r="Y18" s="289" t="n"/>
      <x:c r="Z18" s="289" t="n"/>
    </x:row>
    <x:row r="19">
      <x:c r="A19" s="113" t="n"/>
      <x:c r="B19" s="113" t="n"/>
      <x:c r="C19" s="113" t="n"/>
      <x:c r="D19" s="113" t="n"/>
      <x:c r="E19" s="289" t="n"/>
      <x:c r="F19" s="289" t="n"/>
      <x:c r="G19" s="289" t="n"/>
      <x:c r="H19" s="289" t="n"/>
      <x:c r="I19" s="289" t="n"/>
      <x:c r="J19" s="289" t="n"/>
      <x:c r="K19" s="289" t="n"/>
      <x:c r="L19" s="289" t="n"/>
      <x:c r="M19" s="289" t="n"/>
      <x:c r="N19" s="289" t="n"/>
      <x:c r="O19" s="289" t="n"/>
      <x:c r="P19" s="289" t="n"/>
      <x:c r="Q19" s="289" t="n"/>
      <x:c r="R19" s="289" t="n"/>
      <x:c r="S19" s="289" t="n"/>
      <x:c r="T19" s="289" t="n"/>
      <x:c r="U19" s="289" t="n"/>
      <x:c r="V19" s="289" t="n"/>
      <x:c r="W19" s="289" t="n"/>
      <x:c r="X19" s="289" t="n"/>
      <x:c r="Y19" s="289" t="n"/>
      <x:c r="Z19" s="289" t="n"/>
    </x:row>
    <x:row r="20">
      <x:c r="A20" s="113" t="n"/>
      <x:c r="B20" s="113" t="n"/>
      <x:c r="C20" s="113" t="n"/>
      <x:c r="D20" s="113" t="n"/>
      <x:c r="E20" s="289" t="n"/>
      <x:c r="F20" s="289" t="n"/>
      <x:c r="G20" s="289" t="n"/>
      <x:c r="H20" s="289" t="n"/>
      <x:c r="I20" s="289" t="n"/>
      <x:c r="J20" s="289" t="n"/>
      <x:c r="K20" s="289" t="n"/>
      <x:c r="L20" s="289" t="n"/>
      <x:c r="M20" s="289" t="n"/>
      <x:c r="N20" s="289" t="n"/>
      <x:c r="O20" s="289" t="n"/>
      <x:c r="P20" s="289" t="n"/>
      <x:c r="Q20" s="289" t="n"/>
      <x:c r="R20" s="289" t="n"/>
      <x:c r="S20" s="289" t="n"/>
      <x:c r="T20" s="289" t="n"/>
      <x:c r="U20" s="289" t="n"/>
      <x:c r="V20" s="289" t="n"/>
      <x:c r="W20" s="289" t="n"/>
      <x:c r="X20" s="289" t="n"/>
      <x:c r="Y20" s="289" t="n"/>
      <x:c r="Z20" s="289" t="n"/>
    </x:row>
    <x:row r="21">
      <x:c r="A21" s="113" t="n"/>
      <x:c r="B21" s="113" t="n"/>
      <x:c r="C21" s="113" t="n"/>
      <x:c r="D21" s="113" t="n"/>
      <x:c r="E21" s="289" t="n"/>
      <x:c r="F21" s="289" t="n"/>
      <x:c r="G21" s="289" t="n"/>
      <x:c r="H21" s="289" t="n"/>
      <x:c r="I21" s="289" t="n"/>
      <x:c r="J21" s="289" t="n"/>
      <x:c r="K21" s="289" t="n"/>
      <x:c r="L21" s="289" t="n"/>
      <x:c r="M21" s="289" t="n"/>
      <x:c r="N21" s="289" t="n"/>
      <x:c r="O21" s="289" t="n"/>
      <x:c r="P21" s="289" t="n"/>
      <x:c r="Q21" s="289" t="n"/>
      <x:c r="R21" s="289" t="n"/>
      <x:c r="S21" s="289" t="n"/>
      <x:c r="T21" s="289" t="n"/>
      <x:c r="U21" s="289" t="n"/>
      <x:c r="V21" s="289" t="n"/>
      <x:c r="W21" s="289" t="n"/>
      <x:c r="X21" s="289" t="n"/>
      <x:c r="Y21" s="289" t="n"/>
      <x:c r="Z21" s="289" t="n"/>
    </x:row>
    <x:row r="22">
      <x:c r="A22" s="113" t="n"/>
      <x:c r="B22" s="113" t="n"/>
      <x:c r="C22" s="113" t="n"/>
      <x:c r="D22" s="113" t="n"/>
      <x:c r="E22" s="289" t="n"/>
      <x:c r="F22" s="289" t="n"/>
      <x:c r="G22" s="289" t="n"/>
      <x:c r="H22" s="289" t="n"/>
      <x:c r="I22" s="289" t="n"/>
      <x:c r="J22" s="289" t="n"/>
      <x:c r="K22" s="289" t="n"/>
      <x:c r="L22" s="289" t="n"/>
      <x:c r="M22" s="289" t="n"/>
      <x:c r="N22" s="289" t="n"/>
      <x:c r="O22" s="289" t="n"/>
      <x:c r="P22" s="289" t="n"/>
      <x:c r="Q22" s="289" t="n"/>
      <x:c r="R22" s="289" t="n"/>
      <x:c r="S22" s="289" t="n"/>
      <x:c r="T22" s="289" t="n"/>
      <x:c r="U22" s="289" t="n"/>
      <x:c r="V22" s="289" t="n"/>
      <x:c r="W22" s="289" t="n"/>
      <x:c r="X22" s="289" t="n"/>
      <x:c r="Y22" s="289" t="n"/>
      <x:c r="Z22" s="289" t="n"/>
    </x:row>
    <x:row r="23">
      <x:c r="A23" s="113" t="n"/>
      <x:c r="B23" s="113" t="n"/>
      <x:c r="C23" s="113" t="n"/>
      <x:c r="D23" s="113" t="n"/>
      <x:c r="E23" s="289" t="n"/>
      <x:c r="F23" s="289" t="n"/>
      <x:c r="G23" s="289" t="n"/>
      <x:c r="H23" s="289" t="n"/>
      <x:c r="I23" s="289" t="n"/>
      <x:c r="J23" s="289" t="n"/>
      <x:c r="K23" s="289" t="n"/>
      <x:c r="L23" s="289" t="n"/>
      <x:c r="M23" s="289" t="n"/>
      <x:c r="N23" s="289" t="n"/>
      <x:c r="O23" s="289" t="n"/>
      <x:c r="P23" s="289" t="n"/>
      <x:c r="Q23" s="289" t="n"/>
      <x:c r="R23" s="289" t="n"/>
      <x:c r="S23" s="289" t="n"/>
      <x:c r="T23" s="289" t="n"/>
      <x:c r="U23" s="289" t="n"/>
      <x:c r="V23" s="289" t="n"/>
      <x:c r="W23" s="289" t="n"/>
      <x:c r="X23" s="289" t="n"/>
      <x:c r="Y23" s="289" t="n"/>
      <x:c r="Z23" s="289" t="n"/>
    </x:row>
    <x:row r="24">
      <x:c r="A24" s="113" t="n"/>
      <x:c r="B24" s="113" t="n"/>
      <x:c r="C24" s="113" t="n"/>
      <x:c r="D24" s="113" t="n"/>
      <x:c r="E24" s="289" t="n"/>
      <x:c r="F24" s="289" t="n"/>
      <x:c r="G24" s="289" t="n"/>
      <x:c r="H24" s="289" t="n"/>
      <x:c r="I24" s="289" t="n"/>
      <x:c r="J24" s="289" t="n"/>
      <x:c r="K24" s="289" t="n"/>
      <x:c r="L24" s="289" t="n"/>
      <x:c r="M24" s="289" t="n"/>
      <x:c r="N24" s="289" t="n"/>
      <x:c r="O24" s="289" t="n"/>
      <x:c r="P24" s="289" t="n"/>
      <x:c r="Q24" s="289" t="n"/>
      <x:c r="R24" s="289" t="n"/>
      <x:c r="S24" s="289" t="n"/>
      <x:c r="T24" s="289" t="n"/>
      <x:c r="U24" s="289" t="n"/>
      <x:c r="V24" s="289" t="n"/>
      <x:c r="W24" s="289" t="n"/>
      <x:c r="X24" s="289" t="n"/>
      <x:c r="Y24" s="289" t="n"/>
      <x:c r="Z24" s="289" t="n"/>
    </x:row>
    <x:row r="25">
      <x:c r="A25" s="113" t="n"/>
      <x:c r="B25" s="113" t="n"/>
      <x:c r="C25" s="113" t="n"/>
      <x:c r="D25" s="113" t="n"/>
      <x:c r="E25" s="289" t="n"/>
      <x:c r="F25" s="289" t="n"/>
      <x:c r="G25" s="289" t="n"/>
      <x:c r="H25" s="289" t="n"/>
      <x:c r="I25" s="289" t="n"/>
      <x:c r="J25" s="289" t="n"/>
      <x:c r="K25" s="289" t="n"/>
      <x:c r="L25" s="289" t="n"/>
      <x:c r="M25" s="289" t="n"/>
      <x:c r="N25" s="289" t="n"/>
      <x:c r="O25" s="289" t="n"/>
      <x:c r="P25" s="289" t="n"/>
      <x:c r="Q25" s="289" t="n"/>
      <x:c r="R25" s="289" t="n"/>
      <x:c r="S25" s="289" t="n"/>
      <x:c r="T25" s="289" t="n"/>
      <x:c r="U25" s="289" t="n"/>
      <x:c r="V25" s="289" t="n"/>
      <x:c r="W25" s="289" t="n"/>
      <x:c r="X25" s="289" t="n"/>
      <x:c r="Y25" s="289" t="n"/>
      <x:c r="Z25" s="289" t="n"/>
    </x:row>
    <x:row r="26">
      <x:c r="A26" s="113" t="n"/>
      <x:c r="B26" s="113" t="n"/>
      <x:c r="C26" s="113" t="n"/>
      <x:c r="D26" s="113" t="n"/>
      <x:c r="E26" s="289" t="n"/>
      <x:c r="F26" s="289" t="n"/>
      <x:c r="G26" s="289" t="n"/>
      <x:c r="H26" s="289" t="n"/>
      <x:c r="I26" s="289" t="n"/>
      <x:c r="J26" s="289" t="n"/>
      <x:c r="K26" s="289" t="n"/>
      <x:c r="L26" s="289" t="n"/>
      <x:c r="M26" s="289" t="n"/>
      <x:c r="N26" s="289" t="n"/>
      <x:c r="O26" s="289" t="n"/>
      <x:c r="P26" s="289" t="n"/>
      <x:c r="Q26" s="289" t="n"/>
      <x:c r="R26" s="289" t="n"/>
      <x:c r="S26" s="289" t="n"/>
      <x:c r="T26" s="289" t="n"/>
      <x:c r="U26" s="289" t="n"/>
      <x:c r="V26" s="289" t="n"/>
      <x:c r="W26" s="289" t="n"/>
      <x:c r="X26" s="289" t="n"/>
      <x:c r="Y26" s="289" t="n"/>
      <x:c r="Z26" s="289" t="n"/>
    </x:row>
    <x:row r="27">
      <x:c r="A27" s="113" t="n"/>
      <x:c r="B27" s="113" t="n"/>
      <x:c r="C27" s="113" t="n"/>
      <x:c r="D27" s="113" t="n"/>
      <x:c r="E27" s="289" t="n"/>
      <x:c r="F27" s="289" t="n"/>
      <x:c r="G27" s="289" t="n"/>
      <x:c r="H27" s="289" t="n"/>
      <x:c r="I27" s="289" t="n"/>
      <x:c r="J27" s="289" t="n"/>
      <x:c r="K27" s="289" t="n"/>
      <x:c r="L27" s="289" t="n"/>
      <x:c r="M27" s="289" t="n"/>
      <x:c r="N27" s="289" t="n"/>
      <x:c r="O27" s="289" t="n"/>
      <x:c r="P27" s="289" t="n"/>
      <x:c r="Q27" s="289" t="n"/>
      <x:c r="R27" s="289" t="n"/>
      <x:c r="S27" s="289" t="n"/>
      <x:c r="T27" s="289" t="n"/>
      <x:c r="U27" s="289" t="n"/>
      <x:c r="V27" s="289" t="n"/>
      <x:c r="W27" s="289" t="n"/>
      <x:c r="X27" s="289" t="n"/>
      <x:c r="Y27" s="289" t="n"/>
      <x:c r="Z27" s="289" t="n"/>
    </x:row>
    <x:row r="28">
      <x:c r="A28" s="113" t="n"/>
      <x:c r="B28" s="113" t="n"/>
      <x:c r="C28" s="113" t="n"/>
      <x:c r="D28" s="113" t="n"/>
      <x:c r="E28" s="289" t="n"/>
      <x:c r="F28" s="289" t="n"/>
      <x:c r="G28" s="289" t="n"/>
      <x:c r="H28" s="289" t="n"/>
      <x:c r="I28" s="289" t="n"/>
      <x:c r="J28" s="289" t="n"/>
      <x:c r="K28" s="289" t="n"/>
      <x:c r="L28" s="289" t="n"/>
      <x:c r="M28" s="289" t="n"/>
      <x:c r="N28" s="289" t="n"/>
      <x:c r="O28" s="289" t="n"/>
      <x:c r="P28" s="289" t="n"/>
      <x:c r="Q28" s="289" t="n"/>
      <x:c r="R28" s="289" t="n"/>
      <x:c r="S28" s="289" t="n"/>
      <x:c r="T28" s="289" t="n"/>
      <x:c r="U28" s="289" t="n"/>
      <x:c r="V28" s="289" t="n"/>
      <x:c r="W28" s="289" t="n"/>
      <x:c r="X28" s="289" t="n"/>
      <x:c r="Y28" s="289" t="n"/>
      <x:c r="Z28" s="289" t="n"/>
    </x:row>
    <x:row r="29">
      <x:c r="A29" s="113" t="n"/>
      <x:c r="B29" s="113" t="n"/>
      <x:c r="C29" s="113" t="n"/>
      <x:c r="D29" s="113" t="n"/>
      <x:c r="E29" s="289" t="n"/>
      <x:c r="F29" s="289" t="n"/>
      <x:c r="G29" s="289" t="n"/>
      <x:c r="H29" s="289" t="n"/>
      <x:c r="I29" s="289" t="n"/>
      <x:c r="J29" s="289" t="n"/>
      <x:c r="K29" s="289" t="n"/>
      <x:c r="L29" s="289" t="n"/>
      <x:c r="M29" s="289" t="n"/>
      <x:c r="N29" s="289" t="n"/>
      <x:c r="O29" s="289" t="n"/>
      <x:c r="P29" s="289" t="n"/>
      <x:c r="Q29" s="289" t="n"/>
      <x:c r="R29" s="289" t="n"/>
      <x:c r="S29" s="289" t="n"/>
      <x:c r="T29" s="289" t="n"/>
      <x:c r="U29" s="289" t="n"/>
      <x:c r="V29" s="289" t="n"/>
      <x:c r="W29" s="289" t="n"/>
      <x:c r="X29" s="289" t="n"/>
      <x:c r="Y29" s="289" t="n"/>
      <x:c r="Z29" s="289" t="n"/>
    </x:row>
    <x:row r="30">
      <x:c r="A30" s="113" t="n"/>
      <x:c r="B30" s="113" t="n"/>
      <x:c r="C30" s="113" t="n"/>
      <x:c r="D30" s="113" t="n"/>
      <x:c r="E30" s="289" t="n"/>
      <x:c r="F30" s="289" t="n"/>
      <x:c r="G30" s="289" t="n"/>
      <x:c r="H30" s="289" t="n"/>
      <x:c r="I30" s="289" t="n"/>
      <x:c r="J30" s="289" t="n"/>
      <x:c r="K30" s="289" t="n"/>
      <x:c r="L30" s="289" t="n"/>
      <x:c r="M30" s="289" t="n"/>
      <x:c r="N30" s="289" t="n"/>
      <x:c r="O30" s="289" t="n"/>
      <x:c r="P30" s="289" t="n"/>
      <x:c r="Q30" s="289" t="n"/>
      <x:c r="R30" s="289" t="n"/>
      <x:c r="S30" s="289" t="n"/>
      <x:c r="T30" s="289" t="n"/>
      <x:c r="U30" s="289" t="n"/>
      <x:c r="V30" s="289" t="n"/>
      <x:c r="W30" s="289" t="n"/>
      <x:c r="X30" s="289" t="n"/>
      <x:c r="Y30" s="289" t="n"/>
      <x:c r="Z30" s="289" t="n"/>
    </x:row>
    <x:row r="31">
      <x:c r="A31" s="113" t="n"/>
      <x:c r="B31" s="113" t="n"/>
      <x:c r="C31" s="113" t="n"/>
      <x:c r="D31" s="113" t="n"/>
      <x:c r="E31" s="289" t="n"/>
      <x:c r="F31" s="289" t="n"/>
      <x:c r="G31" s="289" t="n"/>
      <x:c r="H31" s="289" t="n"/>
      <x:c r="I31" s="289" t="n"/>
      <x:c r="J31" s="289" t="n"/>
      <x:c r="K31" s="289" t="n"/>
      <x:c r="L31" s="289" t="n"/>
      <x:c r="M31" s="289" t="n"/>
      <x:c r="N31" s="289" t="n"/>
      <x:c r="O31" s="289" t="n"/>
      <x:c r="P31" s="289" t="n"/>
      <x:c r="Q31" s="289" t="n"/>
      <x:c r="R31" s="289" t="n"/>
      <x:c r="S31" s="289" t="n"/>
      <x:c r="T31" s="289" t="n"/>
      <x:c r="U31" s="289" t="n"/>
      <x:c r="V31" s="289" t="n"/>
      <x:c r="W31" s="289" t="n"/>
      <x:c r="X31" s="289" t="n"/>
      <x:c r="Y31" s="289" t="n"/>
      <x:c r="Z31" s="289" t="n"/>
    </x:row>
    <x:row r="32">
      <x:c r="A32" s="113" t="n"/>
      <x:c r="B32" s="113" t="n"/>
      <x:c r="C32" s="113" t="n"/>
      <x:c r="D32" s="113" t="n"/>
      <x:c r="E32" s="289" t="n"/>
      <x:c r="F32" s="289" t="n"/>
      <x:c r="G32" s="289" t="n"/>
      <x:c r="H32" s="289" t="n"/>
      <x:c r="I32" s="289" t="n"/>
      <x:c r="J32" s="289" t="n"/>
      <x:c r="K32" s="289" t="n"/>
      <x:c r="L32" s="289" t="n"/>
      <x:c r="M32" s="289" t="n"/>
      <x:c r="N32" s="289" t="n"/>
      <x:c r="O32" s="289" t="n"/>
      <x:c r="P32" s="289" t="n"/>
      <x:c r="Q32" s="289" t="n"/>
      <x:c r="R32" s="289" t="n"/>
      <x:c r="S32" s="289" t="n"/>
      <x:c r="T32" s="289" t="n"/>
      <x:c r="U32" s="289" t="n"/>
      <x:c r="V32" s="289" t="n"/>
      <x:c r="W32" s="289" t="n"/>
      <x:c r="X32" s="289" t="n"/>
      <x:c r="Y32" s="289" t="n"/>
      <x:c r="Z32" s="289" t="n"/>
    </x:row>
    <x:row r="33">
      <x:c r="A33" s="113" t="n"/>
      <x:c r="B33" s="113" t="n"/>
      <x:c r="C33" s="113" t="n"/>
      <x:c r="D33" s="113" t="n"/>
      <x:c r="E33" s="289" t="n"/>
      <x:c r="F33" s="289" t="n"/>
      <x:c r="G33" s="289" t="n"/>
      <x:c r="H33" s="289" t="n"/>
      <x:c r="I33" s="289" t="n"/>
      <x:c r="J33" s="289" t="n"/>
      <x:c r="K33" s="289" t="n"/>
      <x:c r="L33" s="289" t="n"/>
      <x:c r="M33" s="289" t="n"/>
      <x:c r="N33" s="289" t="n"/>
      <x:c r="O33" s="289" t="n"/>
      <x:c r="P33" s="289" t="n"/>
      <x:c r="Q33" s="289" t="n"/>
      <x:c r="R33" s="289" t="n"/>
      <x:c r="S33" s="289" t="n"/>
      <x:c r="T33" s="289" t="n"/>
      <x:c r="U33" s="289" t="n"/>
      <x:c r="V33" s="289" t="n"/>
      <x:c r="W33" s="289" t="n"/>
      <x:c r="X33" s="289" t="n"/>
      <x:c r="Y33" s="289" t="n"/>
      <x:c r="Z33" s="289" t="n"/>
    </x:row>
    <x:row r="34">
      <x:c r="A34" s="113" t="n"/>
      <x:c r="B34" s="113" t="n"/>
      <x:c r="C34" s="113" t="n"/>
      <x:c r="D34" s="113" t="n"/>
      <x:c r="E34" s="289" t="n"/>
      <x:c r="F34" s="289" t="n"/>
      <x:c r="G34" s="289" t="n"/>
      <x:c r="H34" s="289" t="n"/>
      <x:c r="I34" s="289" t="n"/>
      <x:c r="J34" s="289" t="n"/>
      <x:c r="K34" s="289" t="n"/>
      <x:c r="L34" s="289" t="n"/>
      <x:c r="M34" s="289" t="n"/>
      <x:c r="N34" s="289" t="n"/>
      <x:c r="O34" s="289" t="n"/>
      <x:c r="P34" s="289" t="n"/>
      <x:c r="Q34" s="289" t="n"/>
      <x:c r="R34" s="289" t="n"/>
      <x:c r="S34" s="289" t="n"/>
      <x:c r="T34" s="289" t="n"/>
      <x:c r="U34" s="289" t="n"/>
      <x:c r="V34" s="289" t="n"/>
      <x:c r="W34" s="289" t="n"/>
      <x:c r="X34" s="289" t="n"/>
      <x:c r="Y34" s="289" t="n"/>
      <x:c r="Z34" s="289" t="n"/>
    </x:row>
    <x:row r="35">
      <x:c r="A35" s="113" t="n"/>
      <x:c r="B35" s="113" t="n"/>
      <x:c r="C35" s="113" t="n"/>
      <x:c r="D35" s="113" t="n"/>
      <x:c r="E35" s="289" t="n"/>
      <x:c r="F35" s="289" t="n"/>
      <x:c r="G35" s="289" t="n"/>
      <x:c r="H35" s="289" t="n"/>
      <x:c r="I35" s="289" t="n"/>
      <x:c r="J35" s="289" t="n"/>
      <x:c r="K35" s="289" t="n"/>
      <x:c r="L35" s="289" t="n"/>
      <x:c r="M35" s="289" t="n"/>
      <x:c r="N35" s="289" t="n"/>
      <x:c r="O35" s="289" t="n"/>
      <x:c r="P35" s="289" t="n"/>
      <x:c r="Q35" s="289" t="n"/>
      <x:c r="R35" s="289" t="n"/>
      <x:c r="S35" s="289" t="n"/>
      <x:c r="T35" s="289" t="n"/>
      <x:c r="U35" s="289" t="n"/>
      <x:c r="V35" s="289" t="n"/>
      <x:c r="W35" s="289" t="n"/>
      <x:c r="X35" s="289" t="n"/>
      <x:c r="Y35" s="289" t="n"/>
      <x:c r="Z35" s="289" t="n"/>
    </x:row>
    <x:row r="36">
      <x:c r="A36" s="113" t="n"/>
      <x:c r="B36" s="113" t="n"/>
      <x:c r="C36" s="113" t="n"/>
      <x:c r="D36" s="113" t="n"/>
      <x:c r="E36" s="289" t="n"/>
      <x:c r="F36" s="289" t="n"/>
      <x:c r="G36" s="289" t="n"/>
      <x:c r="H36" s="289" t="n"/>
      <x:c r="I36" s="289" t="n"/>
      <x:c r="J36" s="289" t="n"/>
      <x:c r="K36" s="289" t="n"/>
      <x:c r="L36" s="289" t="n"/>
      <x:c r="M36" s="289" t="n"/>
      <x:c r="N36" s="289" t="n"/>
      <x:c r="O36" s="289" t="n"/>
      <x:c r="P36" s="289" t="n"/>
      <x:c r="Q36" s="289" t="n"/>
      <x:c r="R36" s="289" t="n"/>
      <x:c r="S36" s="289" t="n"/>
      <x:c r="T36" s="289" t="n"/>
      <x:c r="U36" s="289" t="n"/>
      <x:c r="V36" s="289" t="n"/>
      <x:c r="W36" s="289" t="n"/>
      <x:c r="X36" s="289" t="n"/>
      <x:c r="Y36" s="289" t="n"/>
      <x:c r="Z36" s="289" t="n"/>
    </x:row>
    <x:row r="37">
      <x:c r="A37" s="113" t="n"/>
      <x:c r="B37" s="113" t="n"/>
      <x:c r="C37" s="113" t="n"/>
      <x:c r="D37" s="113" t="n"/>
      <x:c r="E37" s="289" t="n"/>
      <x:c r="F37" s="289" t="n"/>
      <x:c r="G37" s="289" t="n"/>
      <x:c r="H37" s="289" t="n"/>
      <x:c r="I37" s="289" t="n"/>
      <x:c r="J37" s="289" t="n"/>
      <x:c r="K37" s="289" t="n"/>
      <x:c r="L37" s="289" t="n"/>
      <x:c r="M37" s="289" t="n"/>
      <x:c r="N37" s="289" t="n"/>
      <x:c r="O37" s="289" t="n"/>
      <x:c r="P37" s="289" t="n"/>
      <x:c r="Q37" s="289" t="n"/>
      <x:c r="R37" s="289" t="n"/>
      <x:c r="S37" s="289" t="n"/>
      <x:c r="T37" s="289" t="n"/>
      <x:c r="U37" s="289" t="n"/>
      <x:c r="V37" s="289" t="n"/>
      <x:c r="W37" s="289" t="n"/>
      <x:c r="X37" s="289" t="n"/>
      <x:c r="Y37" s="289" t="n"/>
      <x:c r="Z37" s="289" t="n"/>
    </x:row>
    <x:row r="38">
      <x:c r="A38" s="113" t="n"/>
      <x:c r="B38" s="113" t="n"/>
      <x:c r="C38" s="113" t="n"/>
      <x:c r="D38" s="113" t="n"/>
      <x:c r="E38" s="289" t="n"/>
      <x:c r="F38" s="289" t="n"/>
      <x:c r="G38" s="289" t="n"/>
      <x:c r="H38" s="289" t="n"/>
      <x:c r="I38" s="289" t="n"/>
      <x:c r="J38" s="289" t="n"/>
      <x:c r="K38" s="289" t="n"/>
      <x:c r="L38" s="289" t="n"/>
      <x:c r="M38" s="289" t="n"/>
      <x:c r="N38" s="289" t="n"/>
      <x:c r="O38" s="289" t="n"/>
      <x:c r="P38" s="289" t="n"/>
      <x:c r="Q38" s="289" t="n"/>
      <x:c r="R38" s="289" t="n"/>
      <x:c r="S38" s="289" t="n"/>
      <x:c r="T38" s="289" t="n"/>
      <x:c r="U38" s="289" t="n"/>
      <x:c r="V38" s="289" t="n"/>
      <x:c r="W38" s="289" t="n"/>
      <x:c r="X38" s="289" t="n"/>
      <x:c r="Y38" s="289" t="n"/>
      <x:c r="Z38" s="289" t="n"/>
    </x:row>
    <x:row r="39">
      <x:c r="A39" s="113" t="n"/>
      <x:c r="B39" s="113" t="n"/>
      <x:c r="C39" s="113" t="n"/>
      <x:c r="D39" s="113" t="n"/>
      <x:c r="E39" s="289" t="n"/>
      <x:c r="F39" s="289" t="n"/>
      <x:c r="G39" s="289" t="n"/>
      <x:c r="H39" s="289" t="n"/>
      <x:c r="I39" s="289" t="n"/>
      <x:c r="J39" s="289" t="n"/>
      <x:c r="K39" s="289" t="n"/>
      <x:c r="L39" s="289" t="n"/>
      <x:c r="M39" s="289" t="n"/>
      <x:c r="N39" s="289" t="n"/>
      <x:c r="O39" s="289" t="n"/>
      <x:c r="P39" s="289" t="n"/>
      <x:c r="Q39" s="289" t="n"/>
      <x:c r="R39" s="289" t="n"/>
      <x:c r="S39" s="289" t="n"/>
      <x:c r="T39" s="289" t="n"/>
      <x:c r="U39" s="289" t="n"/>
      <x:c r="V39" s="289" t="n"/>
      <x:c r="W39" s="289" t="n"/>
      <x:c r="X39" s="289" t="n"/>
      <x:c r="Y39" s="289" t="n"/>
      <x:c r="Z39" s="289" t="n"/>
    </x:row>
    <x:row r="40">
      <x:c r="A40" s="113" t="n"/>
      <x:c r="B40" s="113" t="n"/>
      <x:c r="C40" s="113" t="n"/>
      <x:c r="D40" s="113" t="n"/>
      <x:c r="E40" s="289" t="n"/>
      <x:c r="F40" s="289" t="n"/>
      <x:c r="G40" s="289" t="n"/>
      <x:c r="H40" s="289" t="n"/>
      <x:c r="I40" s="289" t="n"/>
      <x:c r="J40" s="289" t="n"/>
      <x:c r="K40" s="289" t="n"/>
      <x:c r="L40" s="289" t="n"/>
      <x:c r="M40" s="289" t="n"/>
      <x:c r="N40" s="289" t="n"/>
      <x:c r="O40" s="289" t="n"/>
      <x:c r="P40" s="289" t="n"/>
      <x:c r="Q40" s="289" t="n"/>
      <x:c r="R40" s="289" t="n"/>
      <x:c r="S40" s="289" t="n"/>
      <x:c r="T40" s="289" t="n"/>
      <x:c r="U40" s="289" t="n"/>
      <x:c r="V40" s="289" t="n"/>
      <x:c r="W40" s="289" t="n"/>
      <x:c r="X40" s="289" t="n"/>
      <x:c r="Y40" s="289" t="n"/>
      <x:c r="Z40" s="289" t="n"/>
    </x:row>
    <x:row r="41">
      <x:c r="A41" s="113" t="n"/>
      <x:c r="B41" s="113" t="n"/>
      <x:c r="C41" s="113" t="n"/>
      <x:c r="D41" s="113" t="n"/>
      <x:c r="E41" s="289" t="n"/>
      <x:c r="F41" s="289" t="n"/>
      <x:c r="G41" s="289" t="n"/>
      <x:c r="H41" s="289" t="n"/>
      <x:c r="I41" s="289" t="n"/>
      <x:c r="J41" s="289" t="n"/>
      <x:c r="K41" s="289" t="n"/>
      <x:c r="L41" s="289" t="n"/>
      <x:c r="M41" s="289" t="n"/>
      <x:c r="N41" s="289" t="n"/>
      <x:c r="O41" s="289" t="n"/>
      <x:c r="P41" s="289" t="n"/>
      <x:c r="Q41" s="289" t="n"/>
      <x:c r="R41" s="289" t="n"/>
      <x:c r="S41" s="289" t="n"/>
      <x:c r="T41" s="289" t="n"/>
      <x:c r="U41" s="289" t="n"/>
      <x:c r="V41" s="289" t="n"/>
      <x:c r="W41" s="289" t="n"/>
      <x:c r="X41" s="289" t="n"/>
      <x:c r="Y41" s="289" t="n"/>
      <x:c r="Z41" s="289" t="n"/>
    </x:row>
    <x:row r="42">
      <x:c r="A42" s="113" t="n"/>
      <x:c r="B42" s="113" t="n"/>
      <x:c r="C42" s="113" t="n"/>
      <x:c r="D42" s="113" t="n"/>
      <x:c r="E42" s="289" t="n"/>
      <x:c r="F42" s="289" t="n"/>
      <x:c r="G42" s="289" t="n"/>
      <x:c r="H42" s="289" t="n"/>
      <x:c r="I42" s="289" t="n"/>
      <x:c r="J42" s="289" t="n"/>
      <x:c r="K42" s="289" t="n"/>
      <x:c r="L42" s="289" t="n"/>
      <x:c r="M42" s="289" t="n"/>
      <x:c r="N42" s="289" t="n"/>
      <x:c r="O42" s="289" t="n"/>
      <x:c r="P42" s="289" t="n"/>
      <x:c r="Q42" s="289" t="n"/>
      <x:c r="R42" s="289" t="n"/>
      <x:c r="S42" s="289" t="n"/>
      <x:c r="T42" s="289" t="n"/>
      <x:c r="U42" s="289" t="n"/>
      <x:c r="V42" s="289" t="n"/>
      <x:c r="W42" s="289" t="n"/>
      <x:c r="X42" s="289" t="n"/>
      <x:c r="Y42" s="289" t="n"/>
      <x:c r="Z42" s="289" t="n"/>
    </x:row>
    <x:row r="43">
      <x:c r="A43" s="113" t="n"/>
      <x:c r="B43" s="113" t="n"/>
      <x:c r="C43" s="113" t="n"/>
      <x:c r="D43" s="113" t="n"/>
      <x:c r="E43" s="289" t="n"/>
      <x:c r="F43" s="289" t="n"/>
      <x:c r="G43" s="289" t="n"/>
      <x:c r="H43" s="289" t="n"/>
      <x:c r="I43" s="289" t="n"/>
      <x:c r="J43" s="289" t="n"/>
      <x:c r="K43" s="289" t="n"/>
      <x:c r="L43" s="289" t="n"/>
      <x:c r="M43" s="289" t="n"/>
      <x:c r="N43" s="289" t="n"/>
      <x:c r="O43" s="289" t="n"/>
      <x:c r="P43" s="289" t="n"/>
      <x:c r="Q43" s="289" t="n"/>
      <x:c r="R43" s="289" t="n"/>
      <x:c r="S43" s="289" t="n"/>
      <x:c r="T43" s="289" t="n"/>
      <x:c r="U43" s="289" t="n"/>
      <x:c r="V43" s="289" t="n"/>
      <x:c r="W43" s="289" t="n"/>
      <x:c r="X43" s="289" t="n"/>
      <x:c r="Y43" s="289" t="n"/>
      <x:c r="Z43" s="289" t="n"/>
    </x:row>
    <x:row r="44">
      <x:c r="A44" s="113" t="n"/>
      <x:c r="B44" s="113" t="n"/>
      <x:c r="C44" s="113" t="n"/>
      <x:c r="D44" s="113" t="n"/>
      <x:c r="E44" s="289" t="n"/>
      <x:c r="F44" s="289" t="n"/>
      <x:c r="G44" s="289" t="n"/>
      <x:c r="H44" s="289" t="n"/>
      <x:c r="I44" s="289" t="n"/>
      <x:c r="J44" s="289" t="n"/>
      <x:c r="K44" s="289" t="n"/>
      <x:c r="L44" s="289" t="n"/>
      <x:c r="M44" s="289" t="n"/>
      <x:c r="N44" s="289" t="n"/>
      <x:c r="O44" s="289" t="n"/>
      <x:c r="P44" s="289" t="n"/>
      <x:c r="Q44" s="289" t="n"/>
      <x:c r="R44" s="289" t="n"/>
      <x:c r="S44" s="289" t="n"/>
      <x:c r="T44" s="289" t="n"/>
      <x:c r="U44" s="289" t="n"/>
      <x:c r="V44" s="289" t="n"/>
      <x:c r="W44" s="289" t="n"/>
      <x:c r="X44" s="289" t="n"/>
      <x:c r="Y44" s="289" t="n"/>
      <x:c r="Z44" s="289" t="n"/>
    </x:row>
    <x:row r="45">
      <x:c r="A45" s="113" t="n"/>
      <x:c r="B45" s="113" t="n"/>
      <x:c r="C45" s="113" t="n"/>
      <x:c r="D45" s="113" t="n"/>
      <x:c r="E45" s="289" t="n"/>
      <x:c r="F45" s="289" t="n"/>
      <x:c r="G45" s="289" t="n"/>
      <x:c r="H45" s="289" t="n"/>
      <x:c r="I45" s="289" t="n"/>
      <x:c r="J45" s="289" t="n"/>
      <x:c r="K45" s="289" t="n"/>
      <x:c r="L45" s="289" t="n"/>
      <x:c r="M45" s="289" t="n"/>
      <x:c r="N45" s="289" t="n"/>
      <x:c r="O45" s="289" t="n"/>
      <x:c r="P45" s="289" t="n"/>
      <x:c r="Q45" s="289" t="n"/>
      <x:c r="R45" s="289" t="n"/>
      <x:c r="S45" s="289" t="n"/>
      <x:c r="T45" s="289" t="n"/>
      <x:c r="U45" s="289" t="n"/>
      <x:c r="V45" s="289" t="n"/>
      <x:c r="W45" s="289" t="n"/>
      <x:c r="X45" s="289" t="n"/>
      <x:c r="Y45" s="289" t="n"/>
      <x:c r="Z45" s="289" t="n"/>
    </x:row>
    <x:row r="46">
      <x:c r="A46" s="113" t="n"/>
      <x:c r="B46" s="113" t="n"/>
      <x:c r="C46" s="113" t="n"/>
      <x:c r="D46" s="113" t="n"/>
      <x:c r="E46" s="289" t="n"/>
      <x:c r="F46" s="289" t="n"/>
      <x:c r="G46" s="289" t="n"/>
      <x:c r="H46" s="289" t="n"/>
      <x:c r="I46" s="289" t="n"/>
      <x:c r="J46" s="289" t="n"/>
      <x:c r="K46" s="289" t="n"/>
      <x:c r="L46" s="289" t="n"/>
      <x:c r="M46" s="289" t="n"/>
      <x:c r="N46" s="289" t="n"/>
      <x:c r="O46" s="289" t="n"/>
      <x:c r="P46" s="289" t="n"/>
      <x:c r="Q46" s="289" t="n"/>
      <x:c r="R46" s="289" t="n"/>
      <x:c r="S46" s="289" t="n"/>
      <x:c r="T46" s="289" t="n"/>
      <x:c r="U46" s="289" t="n"/>
      <x:c r="V46" s="289" t="n"/>
      <x:c r="W46" s="289" t="n"/>
      <x:c r="X46" s="289" t="n"/>
      <x:c r="Y46" s="289" t="n"/>
      <x:c r="Z46" s="289" t="n"/>
    </x:row>
    <x:row r="47">
      <x:c r="A47" s="113" t="n"/>
      <x:c r="B47" s="113" t="n"/>
      <x:c r="C47" s="113" t="n"/>
      <x:c r="D47" s="113" t="n"/>
      <x:c r="E47" s="289" t="n"/>
      <x:c r="F47" s="289" t="n"/>
      <x:c r="G47" s="289" t="n"/>
      <x:c r="H47" s="289" t="n"/>
      <x:c r="I47" s="289" t="n"/>
      <x:c r="J47" s="289" t="n"/>
      <x:c r="K47" s="289" t="n"/>
      <x:c r="L47" s="289" t="n"/>
      <x:c r="M47" s="289" t="n"/>
      <x:c r="N47" s="289" t="n"/>
      <x:c r="O47" s="289" t="n"/>
      <x:c r="P47" s="289" t="n"/>
      <x:c r="Q47" s="289" t="n"/>
      <x:c r="R47" s="289" t="n"/>
      <x:c r="S47" s="289" t="n"/>
      <x:c r="T47" s="289" t="n"/>
      <x:c r="U47" s="289" t="n"/>
      <x:c r="V47" s="289" t="n"/>
      <x:c r="W47" s="289" t="n"/>
      <x:c r="X47" s="289" t="n"/>
      <x:c r="Y47" s="289" t="n"/>
      <x:c r="Z47" s="289" t="n"/>
    </x:row>
    <x:row r="48">
      <x:c r="A48" s="113" t="n"/>
      <x:c r="B48" s="113" t="n"/>
      <x:c r="C48" s="113" t="n"/>
      <x:c r="D48" s="113" t="n"/>
      <x:c r="E48" s="289" t="n"/>
      <x:c r="F48" s="289" t="n"/>
      <x:c r="G48" s="289" t="n"/>
      <x:c r="H48" s="289" t="n"/>
      <x:c r="I48" s="289" t="n"/>
      <x:c r="J48" s="289" t="n"/>
      <x:c r="K48" s="289" t="n"/>
      <x:c r="L48" s="289" t="n"/>
      <x:c r="M48" s="289" t="n"/>
      <x:c r="N48" s="289" t="n"/>
      <x:c r="O48" s="289" t="n"/>
      <x:c r="P48" s="289" t="n"/>
      <x:c r="Q48" s="289" t="n"/>
      <x:c r="R48" s="289" t="n"/>
      <x:c r="S48" s="289" t="n"/>
      <x:c r="T48" s="289" t="n"/>
      <x:c r="U48" s="289" t="n"/>
      <x:c r="V48" s="289" t="n"/>
      <x:c r="W48" s="289" t="n"/>
      <x:c r="X48" s="289" t="n"/>
      <x:c r="Y48" s="289" t="n"/>
      <x:c r="Z48" s="289" t="n"/>
    </x:row>
    <x:row r="49">
      <x:c r="A49" s="113" t="n"/>
      <x:c r="B49" s="113" t="n"/>
      <x:c r="C49" s="113" t="n"/>
      <x:c r="D49" s="113" t="n"/>
      <x:c r="E49" s="289" t="n"/>
      <x:c r="F49" s="289" t="n"/>
      <x:c r="G49" s="289" t="n"/>
      <x:c r="H49" s="289" t="n"/>
      <x:c r="I49" s="289" t="n"/>
      <x:c r="J49" s="289" t="n"/>
      <x:c r="K49" s="289" t="n"/>
      <x:c r="L49" s="289" t="n"/>
      <x:c r="M49" s="289" t="n"/>
      <x:c r="N49" s="289" t="n"/>
      <x:c r="O49" s="289" t="n"/>
      <x:c r="P49" s="289" t="n"/>
      <x:c r="Q49" s="289" t="n"/>
      <x:c r="R49" s="289" t="n"/>
      <x:c r="S49" s="289" t="n"/>
      <x:c r="T49" s="289" t="n"/>
      <x:c r="U49" s="289" t="n"/>
      <x:c r="V49" s="289" t="n"/>
      <x:c r="W49" s="289" t="n"/>
      <x:c r="X49" s="289" t="n"/>
      <x:c r="Y49" s="289" t="n"/>
      <x:c r="Z49" s="289" t="n"/>
    </x:row>
    <x:row r="50">
      <x:c r="A50" s="113" t="n"/>
      <x:c r="B50" s="113" t="n"/>
      <x:c r="C50" s="113" t="n"/>
      <x:c r="D50" s="113" t="n"/>
      <x:c r="E50" s="289" t="n"/>
      <x:c r="F50" s="289" t="n"/>
      <x:c r="G50" s="289" t="n"/>
      <x:c r="H50" s="289" t="n"/>
      <x:c r="I50" s="289" t="n"/>
      <x:c r="J50" s="289" t="n"/>
      <x:c r="K50" s="289" t="n"/>
      <x:c r="L50" s="289" t="n"/>
      <x:c r="M50" s="289" t="n"/>
      <x:c r="N50" s="289" t="n"/>
      <x:c r="O50" s="289" t="n"/>
      <x:c r="P50" s="289" t="n"/>
      <x:c r="Q50" s="289" t="n"/>
      <x:c r="R50" s="289" t="n"/>
      <x:c r="S50" s="289" t="n"/>
      <x:c r="T50" s="289" t="n"/>
      <x:c r="U50" s="289" t="n"/>
      <x:c r="V50" s="289" t="n"/>
      <x:c r="W50" s="289" t="n"/>
      <x:c r="X50" s="289" t="n"/>
      <x:c r="Y50" s="289" t="n"/>
      <x:c r="Z50" s="289" t="n"/>
    </x:row>
    <x:row r="51">
      <x:c r="A51" s="113" t="n"/>
      <x:c r="B51" s="113" t="n"/>
      <x:c r="C51" s="113" t="n"/>
      <x:c r="D51" s="113" t="n"/>
      <x:c r="E51" s="289" t="n"/>
      <x:c r="F51" s="289" t="n"/>
      <x:c r="G51" s="289" t="n"/>
      <x:c r="H51" s="289" t="n"/>
      <x:c r="I51" s="289" t="n"/>
      <x:c r="J51" s="289" t="n"/>
      <x:c r="K51" s="289" t="n"/>
      <x:c r="L51" s="289" t="n"/>
      <x:c r="M51" s="289" t="n"/>
      <x:c r="N51" s="289" t="n"/>
      <x:c r="O51" s="289" t="n"/>
      <x:c r="P51" s="289" t="n"/>
      <x:c r="Q51" s="289" t="n"/>
      <x:c r="R51" s="289" t="n"/>
      <x:c r="S51" s="289" t="n"/>
      <x:c r="T51" s="289" t="n"/>
      <x:c r="U51" s="289" t="n"/>
      <x:c r="V51" s="289" t="n"/>
      <x:c r="W51" s="289" t="n"/>
      <x:c r="X51" s="289" t="n"/>
      <x:c r="Y51" s="289" t="n"/>
      <x:c r="Z51" s="289" t="n"/>
    </x:row>
    <x:row r="52">
      <x:c r="A52" s="113" t="n"/>
      <x:c r="B52" s="113" t="n"/>
      <x:c r="C52" s="113" t="n"/>
      <x:c r="D52" s="113" t="n"/>
      <x:c r="E52" s="289" t="n"/>
      <x:c r="F52" s="289" t="n"/>
      <x:c r="G52" s="289" t="n"/>
      <x:c r="H52" s="289" t="n"/>
      <x:c r="I52" s="289" t="n"/>
      <x:c r="J52" s="289" t="n"/>
      <x:c r="K52" s="289" t="n"/>
      <x:c r="L52" s="289" t="n"/>
      <x:c r="M52" s="289" t="n"/>
      <x:c r="N52" s="289" t="n"/>
      <x:c r="O52" s="289" t="n"/>
      <x:c r="P52" s="289" t="n"/>
      <x:c r="Q52" s="289" t="n"/>
      <x:c r="R52" s="289" t="n"/>
      <x:c r="S52" s="289" t="n"/>
      <x:c r="T52" s="289" t="n"/>
      <x:c r="U52" s="289" t="n"/>
      <x:c r="V52" s="289" t="n"/>
      <x:c r="W52" s="289" t="n"/>
      <x:c r="X52" s="289" t="n"/>
      <x:c r="Y52" s="289" t="n"/>
      <x:c r="Z52" s="289" t="n"/>
    </x:row>
    <x:row r="53">
      <x:c r="A53" s="113" t="n"/>
      <x:c r="B53" s="113" t="n"/>
      <x:c r="C53" s="113" t="n"/>
      <x:c r="D53" s="113" t="n"/>
      <x:c r="E53" s="289" t="n"/>
      <x:c r="F53" s="289" t="n"/>
      <x:c r="G53" s="289" t="n"/>
      <x:c r="H53" s="289" t="n"/>
      <x:c r="I53" s="289" t="n"/>
      <x:c r="J53" s="289" t="n"/>
      <x:c r="K53" s="289" t="n"/>
      <x:c r="L53" s="289" t="n"/>
      <x:c r="M53" s="289" t="n"/>
      <x:c r="N53" s="289" t="n"/>
      <x:c r="O53" s="289" t="n"/>
      <x:c r="P53" s="289" t="n"/>
      <x:c r="Q53" s="289" t="n"/>
      <x:c r="R53" s="289" t="n"/>
      <x:c r="S53" s="289" t="n"/>
      <x:c r="T53" s="289" t="n"/>
      <x:c r="U53" s="289" t="n"/>
      <x:c r="V53" s="289" t="n"/>
      <x:c r="W53" s="289" t="n"/>
      <x:c r="X53" s="289" t="n"/>
      <x:c r="Y53" s="289" t="n"/>
      <x:c r="Z53" s="289" t="n"/>
    </x:row>
    <x:row r="54">
      <x:c r="A54" s="113" t="n"/>
      <x:c r="B54" s="113" t="n"/>
      <x:c r="C54" s="113" t="n"/>
      <x:c r="D54" s="113" t="n"/>
      <x:c r="E54" s="289" t="n"/>
      <x:c r="F54" s="289" t="n"/>
      <x:c r="G54" s="289" t="n"/>
      <x:c r="H54" s="289" t="n"/>
      <x:c r="I54" s="289" t="n"/>
      <x:c r="J54" s="289" t="n"/>
      <x:c r="K54" s="289" t="n"/>
      <x:c r="L54" s="289" t="n"/>
      <x:c r="M54" s="289" t="n"/>
      <x:c r="N54" s="289" t="n"/>
      <x:c r="O54" s="289" t="n"/>
      <x:c r="P54" s="289" t="n"/>
      <x:c r="Q54" s="289" t="n"/>
      <x:c r="R54" s="289" t="n"/>
      <x:c r="S54" s="289" t="n"/>
      <x:c r="T54" s="289" t="n"/>
      <x:c r="U54" s="289" t="n"/>
      <x:c r="V54" s="289" t="n"/>
      <x:c r="W54" s="289" t="n"/>
      <x:c r="X54" s="289" t="n"/>
      <x:c r="Y54" s="289" t="n"/>
      <x:c r="Z54" s="289" t="n"/>
    </x:row>
    <x:row r="55">
      <x:c r="A55" s="113" t="n"/>
      <x:c r="B55" s="113" t="n"/>
      <x:c r="C55" s="113" t="n"/>
      <x:c r="D55" s="113" t="n"/>
      <x:c r="E55" s="289" t="n"/>
      <x:c r="F55" s="289" t="n"/>
      <x:c r="G55" s="289" t="n"/>
      <x:c r="H55" s="289" t="n"/>
      <x:c r="I55" s="289" t="n"/>
      <x:c r="J55" s="289" t="n"/>
      <x:c r="K55" s="289" t="n"/>
      <x:c r="L55" s="289" t="n"/>
      <x:c r="M55" s="289" t="n"/>
      <x:c r="N55" s="289" t="n"/>
      <x:c r="O55" s="289" t="n"/>
      <x:c r="P55" s="289" t="n"/>
      <x:c r="Q55" s="289" t="n"/>
      <x:c r="R55" s="289" t="n"/>
      <x:c r="S55" s="289" t="n"/>
      <x:c r="T55" s="289" t="n"/>
      <x:c r="U55" s="289" t="n"/>
      <x:c r="V55" s="289" t="n"/>
      <x:c r="W55" s="289" t="n"/>
      <x:c r="X55" s="289" t="n"/>
      <x:c r="Y55" s="289" t="n"/>
      <x:c r="Z55" s="289" t="n"/>
    </x:row>
    <x:row r="56">
      <x:c r="A56" s="113" t="n"/>
      <x:c r="B56" s="113" t="n"/>
      <x:c r="C56" s="113" t="n"/>
      <x:c r="D56" s="113" t="n"/>
      <x:c r="E56" s="289" t="n"/>
      <x:c r="F56" s="289" t="n"/>
      <x:c r="G56" s="289" t="n"/>
      <x:c r="H56" s="289" t="n"/>
      <x:c r="I56" s="289" t="n"/>
      <x:c r="J56" s="289" t="n"/>
      <x:c r="K56" s="289" t="n"/>
      <x:c r="L56" s="289" t="n"/>
      <x:c r="M56" s="289" t="n"/>
      <x:c r="N56" s="289" t="n"/>
      <x:c r="O56" s="289" t="n"/>
      <x:c r="P56" s="289" t="n"/>
      <x:c r="Q56" s="289" t="n"/>
      <x:c r="R56" s="289" t="n"/>
      <x:c r="S56" s="289" t="n"/>
      <x:c r="T56" s="289" t="n"/>
      <x:c r="U56" s="289" t="n"/>
      <x:c r="V56" s="289" t="n"/>
      <x:c r="W56" s="289" t="n"/>
      <x:c r="X56" s="289" t="n"/>
      <x:c r="Y56" s="289" t="n"/>
      <x:c r="Z56" s="289" t="n"/>
    </x:row>
    <x:row r="57">
      <x:c r="A57" s="113" t="n"/>
      <x:c r="B57" s="113" t="n"/>
      <x:c r="C57" s="113" t="n"/>
      <x:c r="D57" s="113" t="n"/>
      <x:c r="E57" s="289" t="n"/>
      <x:c r="F57" s="289" t="n"/>
      <x:c r="G57" s="289" t="n"/>
      <x:c r="H57" s="289" t="n"/>
      <x:c r="I57" s="289" t="n"/>
      <x:c r="J57" s="289" t="n"/>
      <x:c r="K57" s="289" t="n"/>
      <x:c r="L57" s="289" t="n"/>
      <x:c r="M57" s="289" t="n"/>
      <x:c r="N57" s="289" t="n"/>
      <x:c r="O57" s="289" t="n"/>
      <x:c r="P57" s="289" t="n"/>
      <x:c r="Q57" s="289" t="n"/>
      <x:c r="R57" s="289" t="n"/>
      <x:c r="S57" s="289" t="n"/>
      <x:c r="T57" s="289" t="n"/>
      <x:c r="U57" s="289" t="n"/>
      <x:c r="V57" s="289" t="n"/>
      <x:c r="W57" s="289" t="n"/>
      <x:c r="X57" s="289" t="n"/>
      <x:c r="Y57" s="289" t="n"/>
      <x:c r="Z57" s="289" t="n"/>
    </x:row>
    <x:row r="58">
      <x:c r="A58" s="113" t="n"/>
      <x:c r="B58" s="113" t="n"/>
      <x:c r="C58" s="113" t="n"/>
      <x:c r="D58" s="113" t="n"/>
      <x:c r="E58" s="289" t="n"/>
      <x:c r="F58" s="289" t="n"/>
      <x:c r="G58" s="289" t="n"/>
      <x:c r="H58" s="289" t="n"/>
      <x:c r="I58" s="289" t="n"/>
      <x:c r="J58" s="289" t="n"/>
      <x:c r="K58" s="289" t="n"/>
      <x:c r="L58" s="289" t="n"/>
      <x:c r="M58" s="289" t="n"/>
      <x:c r="N58" s="289" t="n"/>
      <x:c r="O58" s="289" t="n"/>
      <x:c r="P58" s="289" t="n"/>
      <x:c r="Q58" s="289" t="n"/>
      <x:c r="R58" s="289" t="n"/>
      <x:c r="S58" s="289" t="n"/>
      <x:c r="T58" s="289" t="n"/>
      <x:c r="U58" s="289" t="n"/>
      <x:c r="V58" s="289" t="n"/>
      <x:c r="W58" s="289" t="n"/>
      <x:c r="X58" s="289" t="n"/>
      <x:c r="Y58" s="289" t="n"/>
      <x:c r="Z58" s="289" t="n"/>
    </x:row>
    <x:row r="59">
      <x:c r="A59" s="113" t="n"/>
      <x:c r="B59" s="113" t="n"/>
      <x:c r="C59" s="113" t="n"/>
      <x:c r="D59" s="113" t="n"/>
      <x:c r="E59" s="289" t="n"/>
      <x:c r="F59" s="289" t="n"/>
      <x:c r="G59" s="289" t="n"/>
      <x:c r="H59" s="289" t="n"/>
      <x:c r="I59" s="289" t="n"/>
      <x:c r="J59" s="289" t="n"/>
      <x:c r="K59" s="289" t="n"/>
      <x:c r="L59" s="289" t="n"/>
      <x:c r="M59" s="289" t="n"/>
      <x:c r="N59" s="289" t="n"/>
      <x:c r="O59" s="289" t="n"/>
      <x:c r="P59" s="289" t="n"/>
      <x:c r="Q59" s="289" t="n"/>
      <x:c r="R59" s="289" t="n"/>
      <x:c r="S59" s="289" t="n"/>
      <x:c r="T59" s="289" t="n"/>
      <x:c r="U59" s="289" t="n"/>
      <x:c r="V59" s="289" t="n"/>
      <x:c r="W59" s="289" t="n"/>
      <x:c r="X59" s="289" t="n"/>
      <x:c r="Y59" s="289" t="n"/>
      <x:c r="Z59" s="289" t="n"/>
    </x:row>
    <x:row r="60">
      <x:c r="A60" s="113" t="n"/>
      <x:c r="B60" s="113" t="n"/>
      <x:c r="C60" s="113" t="n"/>
      <x:c r="D60" s="113" t="n"/>
      <x:c r="E60" s="289" t="n"/>
      <x:c r="F60" s="289" t="n"/>
      <x:c r="G60" s="289" t="n"/>
      <x:c r="H60" s="289" t="n"/>
      <x:c r="I60" s="289" t="n"/>
      <x:c r="J60" s="289" t="n"/>
      <x:c r="K60" s="289" t="n"/>
      <x:c r="L60" s="289" t="n"/>
      <x:c r="M60" s="289" t="n"/>
      <x:c r="N60" s="289" t="n"/>
      <x:c r="O60" s="289" t="n"/>
      <x:c r="P60" s="289" t="n"/>
      <x:c r="Q60" s="289" t="n"/>
      <x:c r="R60" s="289" t="n"/>
      <x:c r="S60" s="289" t="n"/>
      <x:c r="T60" s="289" t="n"/>
      <x:c r="U60" s="289" t="n"/>
      <x:c r="V60" s="289" t="n"/>
      <x:c r="W60" s="289" t="n"/>
      <x:c r="X60" s="289" t="n"/>
      <x:c r="Y60" s="289" t="n"/>
      <x:c r="Z60" s="289" t="n"/>
    </x:row>
    <x:row r="61">
      <x:c r="A61" s="113" t="n"/>
      <x:c r="B61" s="113" t="n"/>
      <x:c r="C61" s="113" t="n"/>
      <x:c r="D61" s="113" t="n"/>
      <x:c r="E61" s="289" t="n"/>
      <x:c r="F61" s="289" t="n"/>
      <x:c r="G61" s="289" t="n"/>
      <x:c r="H61" s="289" t="n"/>
      <x:c r="I61" s="289" t="n"/>
      <x:c r="J61" s="289" t="n"/>
      <x:c r="K61" s="289" t="n"/>
      <x:c r="L61" s="289" t="n"/>
      <x:c r="M61" s="289" t="n"/>
      <x:c r="N61" s="289" t="n"/>
      <x:c r="O61" s="289" t="n"/>
      <x:c r="P61" s="289" t="n"/>
      <x:c r="Q61" s="289" t="n"/>
      <x:c r="R61" s="289" t="n"/>
      <x:c r="S61" s="289" t="n"/>
      <x:c r="T61" s="289" t="n"/>
      <x:c r="U61" s="289" t="n"/>
      <x:c r="V61" s="289" t="n"/>
      <x:c r="W61" s="289" t="n"/>
      <x:c r="X61" s="289" t="n"/>
      <x:c r="Y61" s="289" t="n"/>
      <x:c r="Z61" s="289" t="n"/>
    </x:row>
    <x:row r="62">
      <x:c r="A62" s="113" t="n"/>
      <x:c r="B62" s="113" t="n"/>
      <x:c r="C62" s="113" t="n"/>
      <x:c r="D62" s="113" t="n"/>
      <x:c r="E62" s="289" t="n"/>
      <x:c r="F62" s="289" t="n"/>
      <x:c r="G62" s="289" t="n"/>
      <x:c r="H62" s="289" t="n"/>
      <x:c r="I62" s="289" t="n"/>
      <x:c r="J62" s="289" t="n"/>
      <x:c r="K62" s="289" t="n"/>
      <x:c r="L62" s="289" t="n"/>
      <x:c r="M62" s="289" t="n"/>
      <x:c r="N62" s="289" t="n"/>
      <x:c r="O62" s="289" t="n"/>
      <x:c r="P62" s="289" t="n"/>
      <x:c r="Q62" s="289" t="n"/>
      <x:c r="R62" s="289" t="n"/>
      <x:c r="S62" s="289" t="n"/>
      <x:c r="T62" s="289" t="n"/>
      <x:c r="U62" s="289" t="n"/>
      <x:c r="V62" s="289" t="n"/>
      <x:c r="W62" s="289" t="n"/>
      <x:c r="X62" s="289" t="n"/>
      <x:c r="Y62" s="289" t="n"/>
      <x:c r="Z62" s="289" t="n"/>
    </x:row>
    <x:row r="63">
      <x:c r="A63" s="113" t="n"/>
      <x:c r="B63" s="113" t="n"/>
      <x:c r="C63" s="113" t="n"/>
      <x:c r="D63" s="113" t="n"/>
      <x:c r="E63" s="289" t="n"/>
      <x:c r="F63" s="289" t="n"/>
      <x:c r="G63" s="289" t="n"/>
      <x:c r="H63" s="289" t="n"/>
      <x:c r="I63" s="289" t="n"/>
      <x:c r="J63" s="289" t="n"/>
      <x:c r="K63" s="289" t="n"/>
      <x:c r="L63" s="289" t="n"/>
      <x:c r="M63" s="289" t="n"/>
      <x:c r="N63" s="289" t="n"/>
      <x:c r="O63" s="289" t="n"/>
      <x:c r="P63" s="289" t="n"/>
      <x:c r="Q63" s="289" t="n"/>
      <x:c r="R63" s="289" t="n"/>
      <x:c r="S63" s="289" t="n"/>
      <x:c r="T63" s="289" t="n"/>
      <x:c r="U63" s="289" t="n"/>
      <x:c r="V63" s="289" t="n"/>
      <x:c r="W63" s="289" t="n"/>
      <x:c r="X63" s="289" t="n"/>
      <x:c r="Y63" s="289" t="n"/>
      <x:c r="Z63" s="289" t="n"/>
    </x:row>
    <x:row r="64">
      <x:c r="A64" s="113" t="n"/>
      <x:c r="B64" s="113" t="n"/>
      <x:c r="C64" s="113" t="n"/>
      <x:c r="D64" s="113" t="n"/>
      <x:c r="E64" s="289" t="n"/>
      <x:c r="F64" s="289" t="n"/>
      <x:c r="G64" s="289" t="n"/>
      <x:c r="H64" s="289" t="n"/>
      <x:c r="I64" s="289" t="n"/>
      <x:c r="J64" s="289" t="n"/>
      <x:c r="K64" s="289" t="n"/>
      <x:c r="L64" s="289" t="n"/>
      <x:c r="M64" s="289" t="n"/>
      <x:c r="N64" s="289" t="n"/>
      <x:c r="O64" s="289" t="n"/>
      <x:c r="P64" s="289" t="n"/>
      <x:c r="Q64" s="289" t="n"/>
      <x:c r="R64" s="289" t="n"/>
      <x:c r="S64" s="289" t="n"/>
      <x:c r="T64" s="289" t="n"/>
      <x:c r="U64" s="289" t="n"/>
      <x:c r="V64" s="289" t="n"/>
      <x:c r="W64" s="289" t="n"/>
      <x:c r="X64" s="289" t="n"/>
      <x:c r="Y64" s="289" t="n"/>
      <x:c r="Z64" s="289" t="n"/>
    </x:row>
    <x:row r="65">
      <x:c r="A65" s="113" t="n"/>
      <x:c r="B65" s="113" t="n"/>
      <x:c r="C65" s="113" t="n"/>
      <x:c r="D65" s="113" t="n"/>
      <x:c r="E65" s="289" t="n"/>
      <x:c r="F65" s="289" t="n"/>
      <x:c r="G65" s="289" t="n"/>
      <x:c r="H65" s="289" t="n"/>
      <x:c r="I65" s="289" t="n"/>
      <x:c r="J65" s="289" t="n"/>
      <x:c r="K65" s="289" t="n"/>
      <x:c r="L65" s="289" t="n"/>
      <x:c r="M65" s="289" t="n"/>
      <x:c r="N65" s="289" t="n"/>
      <x:c r="O65" s="289" t="n"/>
      <x:c r="P65" s="289" t="n"/>
      <x:c r="Q65" s="289" t="n"/>
      <x:c r="R65" s="289" t="n"/>
      <x:c r="S65" s="289" t="n"/>
      <x:c r="T65" s="289" t="n"/>
      <x:c r="U65" s="289" t="n"/>
      <x:c r="V65" s="289" t="n"/>
      <x:c r="W65" s="289" t="n"/>
      <x:c r="X65" s="289" t="n"/>
      <x:c r="Y65" s="289" t="n"/>
      <x:c r="Z65" s="289" t="n"/>
    </x:row>
    <x:row r="66">
      <x:c r="A66" s="113" t="n"/>
      <x:c r="B66" s="113" t="n"/>
      <x:c r="C66" s="113" t="n"/>
      <x:c r="D66" s="113" t="n"/>
      <x:c r="E66" s="289" t="n"/>
      <x:c r="F66" s="289" t="n"/>
      <x:c r="G66" s="289" t="n"/>
      <x:c r="H66" s="289" t="n"/>
      <x:c r="I66" s="289" t="n"/>
      <x:c r="J66" s="289" t="n"/>
      <x:c r="K66" s="289" t="n"/>
      <x:c r="L66" s="289" t="n"/>
      <x:c r="M66" s="289" t="n"/>
      <x:c r="N66" s="289" t="n"/>
      <x:c r="O66" s="289" t="n"/>
      <x:c r="P66" s="289" t="n"/>
      <x:c r="Q66" s="289" t="n"/>
      <x:c r="R66" s="289" t="n"/>
      <x:c r="S66" s="289" t="n"/>
      <x:c r="T66" s="289" t="n"/>
      <x:c r="U66" s="289" t="n"/>
      <x:c r="V66" s="289" t="n"/>
      <x:c r="W66" s="289" t="n"/>
      <x:c r="X66" s="289" t="n"/>
      <x:c r="Y66" s="289" t="n"/>
      <x:c r="Z66" s="289" t="n"/>
    </x:row>
    <x:row r="67">
      <x:c r="A67" s="113" t="n"/>
      <x:c r="B67" s="113" t="n"/>
      <x:c r="C67" s="113" t="n"/>
      <x:c r="D67" s="113" t="n"/>
      <x:c r="E67" s="289" t="n"/>
      <x:c r="F67" s="289" t="n"/>
      <x:c r="G67" s="289" t="n"/>
      <x:c r="H67" s="289" t="n"/>
      <x:c r="I67" s="289" t="n"/>
      <x:c r="J67" s="289" t="n"/>
      <x:c r="K67" s="289" t="n"/>
      <x:c r="L67" s="289" t="n"/>
      <x:c r="M67" s="289" t="n"/>
      <x:c r="N67" s="289" t="n"/>
      <x:c r="O67" s="289" t="n"/>
      <x:c r="P67" s="289" t="n"/>
      <x:c r="Q67" s="289" t="n"/>
      <x:c r="R67" s="289" t="n"/>
      <x:c r="S67" s="289" t="n"/>
      <x:c r="T67" s="289" t="n"/>
      <x:c r="U67" s="289" t="n"/>
      <x:c r="V67" s="289" t="n"/>
      <x:c r="W67" s="289" t="n"/>
      <x:c r="X67" s="289" t="n"/>
      <x:c r="Y67" s="289" t="n"/>
      <x:c r="Z67" s="289" t="n"/>
    </x:row>
    <x:row r="68">
      <x:c r="A68" s="113" t="n"/>
      <x:c r="B68" s="113" t="n"/>
      <x:c r="C68" s="113" t="n"/>
      <x:c r="D68" s="113" t="n"/>
      <x:c r="E68" s="289" t="n"/>
      <x:c r="F68" s="289" t="n"/>
      <x:c r="G68" s="289" t="n"/>
      <x:c r="H68" s="289" t="n"/>
      <x:c r="I68" s="289" t="n"/>
      <x:c r="J68" s="289" t="n"/>
      <x:c r="K68" s="289" t="n"/>
      <x:c r="L68" s="289" t="n"/>
      <x:c r="M68" s="289" t="n"/>
      <x:c r="N68" s="289" t="n"/>
      <x:c r="O68" s="289" t="n"/>
      <x:c r="P68" s="289" t="n"/>
      <x:c r="Q68" s="289" t="n"/>
      <x:c r="R68" s="289" t="n"/>
      <x:c r="S68" s="289" t="n"/>
      <x:c r="T68" s="289" t="n"/>
      <x:c r="U68" s="289" t="n"/>
      <x:c r="V68" s="289" t="n"/>
      <x:c r="W68" s="289" t="n"/>
      <x:c r="X68" s="289" t="n"/>
      <x:c r="Y68" s="289" t="n"/>
      <x:c r="Z68" s="289" t="n"/>
    </x:row>
    <x:row r="69">
      <x:c r="A69" s="113" t="n"/>
      <x:c r="B69" s="113" t="n"/>
      <x:c r="C69" s="113" t="n"/>
      <x:c r="D69" s="113" t="n"/>
      <x:c r="E69" s="289" t="n"/>
      <x:c r="F69" s="289" t="n"/>
      <x:c r="G69" s="289" t="n"/>
      <x:c r="H69" s="289" t="n"/>
      <x:c r="I69" s="289" t="n"/>
      <x:c r="J69" s="289" t="n"/>
      <x:c r="K69" s="289" t="n"/>
      <x:c r="L69" s="289" t="n"/>
      <x:c r="M69" s="289" t="n"/>
      <x:c r="N69" s="289" t="n"/>
      <x:c r="O69" s="289" t="n"/>
      <x:c r="P69" s="289" t="n"/>
      <x:c r="Q69" s="289" t="n"/>
      <x:c r="R69" s="289" t="n"/>
      <x:c r="S69" s="289" t="n"/>
      <x:c r="T69" s="289" t="n"/>
      <x:c r="U69" s="289" t="n"/>
      <x:c r="V69" s="289" t="n"/>
      <x:c r="W69" s="289" t="n"/>
      <x:c r="X69" s="289" t="n"/>
      <x:c r="Y69" s="289" t="n"/>
      <x:c r="Z69" s="289" t="n"/>
    </x:row>
    <x:row r="70">
      <x:c r="A70" s="113" t="n"/>
      <x:c r="B70" s="113" t="n"/>
      <x:c r="C70" s="113" t="n"/>
      <x:c r="D70" s="113" t="n"/>
      <x:c r="E70" s="289" t="n"/>
      <x:c r="F70" s="289" t="n"/>
      <x:c r="G70" s="289" t="n"/>
      <x:c r="H70" s="289" t="n"/>
      <x:c r="I70" s="289" t="n"/>
      <x:c r="J70" s="289" t="n"/>
      <x:c r="K70" s="289" t="n"/>
      <x:c r="L70" s="289" t="n"/>
      <x:c r="M70" s="289" t="n"/>
      <x:c r="N70" s="289" t="n"/>
      <x:c r="O70" s="289" t="n"/>
      <x:c r="P70" s="289" t="n"/>
      <x:c r="Q70" s="289" t="n"/>
      <x:c r="R70" s="289" t="n"/>
      <x:c r="S70" s="289" t="n"/>
      <x:c r="T70" s="289" t="n"/>
      <x:c r="U70" s="289" t="n"/>
      <x:c r="V70" s="289" t="n"/>
      <x:c r="W70" s="289" t="n"/>
      <x:c r="X70" s="289" t="n"/>
      <x:c r="Y70" s="289" t="n"/>
      <x:c r="Z70" s="289" t="n"/>
    </x:row>
    <x:row r="71">
      <x:c r="A71" s="113" t="n"/>
      <x:c r="B71" s="113" t="n"/>
      <x:c r="C71" s="113" t="n"/>
      <x:c r="D71" s="113" t="n"/>
      <x:c r="E71" s="289" t="n"/>
      <x:c r="F71" s="289" t="n"/>
      <x:c r="G71" s="289" t="n"/>
      <x:c r="H71" s="289" t="n"/>
      <x:c r="I71" s="289" t="n"/>
      <x:c r="J71" s="289" t="n"/>
      <x:c r="K71" s="289" t="n"/>
      <x:c r="L71" s="289" t="n"/>
      <x:c r="M71" s="289" t="n"/>
      <x:c r="N71" s="289" t="n"/>
      <x:c r="O71" s="289" t="n"/>
      <x:c r="P71" s="289" t="n"/>
      <x:c r="Q71" s="289" t="n"/>
      <x:c r="R71" s="289" t="n"/>
      <x:c r="S71" s="289" t="n"/>
      <x:c r="T71" s="289" t="n"/>
      <x:c r="U71" s="289" t="n"/>
      <x:c r="V71" s="289" t="n"/>
      <x:c r="W71" s="289" t="n"/>
      <x:c r="X71" s="289" t="n"/>
      <x:c r="Y71" s="289" t="n"/>
      <x:c r="Z71" s="289" t="n"/>
    </x:row>
    <x:row r="72">
      <x:c r="A72" s="113" t="n"/>
      <x:c r="B72" s="113" t="n"/>
      <x:c r="C72" s="113" t="n"/>
      <x:c r="D72" s="113" t="n"/>
      <x:c r="E72" s="289" t="n"/>
      <x:c r="F72" s="289" t="n"/>
      <x:c r="G72" s="289" t="n"/>
      <x:c r="H72" s="289" t="n"/>
      <x:c r="I72" s="289" t="n"/>
      <x:c r="J72" s="289" t="n"/>
      <x:c r="K72" s="289" t="n"/>
      <x:c r="L72" s="289" t="n"/>
      <x:c r="M72" s="289" t="n"/>
      <x:c r="N72" s="289" t="n"/>
      <x:c r="O72" s="289" t="n"/>
      <x:c r="P72" s="289" t="n"/>
      <x:c r="Q72" s="289" t="n"/>
      <x:c r="R72" s="289" t="n"/>
      <x:c r="S72" s="289" t="n"/>
      <x:c r="T72" s="289" t="n"/>
      <x:c r="U72" s="289" t="n"/>
      <x:c r="V72" s="289" t="n"/>
      <x:c r="W72" s="289" t="n"/>
      <x:c r="X72" s="289" t="n"/>
      <x:c r="Y72" s="289" t="n"/>
      <x:c r="Z72" s="289" t="n"/>
    </x:row>
    <x:row r="73">
      <x:c r="A73" s="113" t="n"/>
      <x:c r="B73" s="113" t="n"/>
      <x:c r="C73" s="113" t="n"/>
      <x:c r="D73" s="113" t="n"/>
      <x:c r="E73" s="289" t="n"/>
      <x:c r="F73" s="289" t="n"/>
      <x:c r="G73" s="289" t="n"/>
      <x:c r="H73" s="289" t="n"/>
      <x:c r="I73" s="289" t="n"/>
      <x:c r="J73" s="289" t="n"/>
      <x:c r="K73" s="289" t="n"/>
      <x:c r="L73" s="289" t="n"/>
      <x:c r="M73" s="289" t="n"/>
      <x:c r="N73" s="289" t="n"/>
      <x:c r="O73" s="289" t="n"/>
      <x:c r="P73" s="289" t="n"/>
      <x:c r="Q73" s="289" t="n"/>
      <x:c r="R73" s="289" t="n"/>
      <x:c r="S73" s="289" t="n"/>
      <x:c r="T73" s="289" t="n"/>
      <x:c r="U73" s="289" t="n"/>
      <x:c r="V73" s="289" t="n"/>
      <x:c r="W73" s="289" t="n"/>
      <x:c r="X73" s="289" t="n"/>
      <x:c r="Y73" s="289" t="n"/>
      <x:c r="Z73" s="289" t="n"/>
    </x:row>
    <x:row r="74">
      <x:c r="A74" s="113" t="n"/>
      <x:c r="B74" s="113" t="n"/>
      <x:c r="C74" s="113" t="n"/>
      <x:c r="D74" s="113" t="n"/>
      <x:c r="E74" s="289" t="n"/>
      <x:c r="F74" s="289" t="n"/>
      <x:c r="G74" s="289" t="n"/>
      <x:c r="H74" s="289" t="n"/>
      <x:c r="I74" s="289" t="n"/>
      <x:c r="J74" s="289" t="n"/>
      <x:c r="K74" s="289" t="n"/>
      <x:c r="L74" s="289" t="n"/>
      <x:c r="M74" s="289" t="n"/>
      <x:c r="N74" s="289" t="n"/>
      <x:c r="O74" s="289" t="n"/>
      <x:c r="P74" s="289" t="n"/>
      <x:c r="Q74" s="289" t="n"/>
      <x:c r="R74" s="289" t="n"/>
      <x:c r="S74" s="289" t="n"/>
      <x:c r="T74" s="289" t="n"/>
      <x:c r="U74" s="289" t="n"/>
      <x:c r="V74" s="289" t="n"/>
      <x:c r="W74" s="289" t="n"/>
      <x:c r="X74" s="289" t="n"/>
      <x:c r="Y74" s="289" t="n"/>
      <x:c r="Z74" s="289" t="n"/>
    </x:row>
    <x:row r="75">
      <x:c r="A75" s="113" t="n"/>
      <x:c r="B75" s="113" t="n"/>
      <x:c r="C75" s="113" t="n"/>
      <x:c r="D75" s="113" t="n"/>
      <x:c r="E75" s="289" t="n"/>
      <x:c r="F75" s="289" t="n"/>
      <x:c r="G75" s="289" t="n"/>
      <x:c r="H75" s="289" t="n"/>
      <x:c r="I75" s="289" t="n"/>
      <x:c r="J75" s="289" t="n"/>
      <x:c r="K75" s="289" t="n"/>
      <x:c r="L75" s="289" t="n"/>
      <x:c r="M75" s="289" t="n"/>
      <x:c r="N75" s="289" t="n"/>
      <x:c r="O75" s="289" t="n"/>
      <x:c r="P75" s="289" t="n"/>
      <x:c r="Q75" s="289" t="n"/>
      <x:c r="R75" s="289" t="n"/>
      <x:c r="S75" s="289" t="n"/>
      <x:c r="T75" s="289" t="n"/>
      <x:c r="U75" s="289" t="n"/>
      <x:c r="V75" s="289" t="n"/>
      <x:c r="W75" s="289" t="n"/>
      <x:c r="X75" s="289" t="n"/>
      <x:c r="Y75" s="289" t="n"/>
      <x:c r="Z75" s="289" t="n"/>
    </x:row>
    <x:row r="76">
      <x:c r="A76" s="113" t="n"/>
      <x:c r="B76" s="113" t="n"/>
      <x:c r="C76" s="113" t="n"/>
      <x:c r="D76" s="113" t="n"/>
      <x:c r="E76" s="289" t="n"/>
      <x:c r="F76" s="289" t="n"/>
      <x:c r="G76" s="289" t="n"/>
      <x:c r="H76" s="289" t="n"/>
      <x:c r="I76" s="289" t="n"/>
      <x:c r="J76" s="289" t="n"/>
      <x:c r="K76" s="289" t="n"/>
      <x:c r="L76" s="289" t="n"/>
      <x:c r="M76" s="289" t="n"/>
      <x:c r="N76" s="289" t="n"/>
      <x:c r="O76" s="289" t="n"/>
      <x:c r="P76" s="289" t="n"/>
      <x:c r="Q76" s="289" t="n"/>
      <x:c r="R76" s="289" t="n"/>
      <x:c r="S76" s="289" t="n"/>
      <x:c r="T76" s="289" t="n"/>
      <x:c r="U76" s="289" t="n"/>
      <x:c r="V76" s="289" t="n"/>
      <x:c r="W76" s="289" t="n"/>
      <x:c r="X76" s="289" t="n"/>
      <x:c r="Y76" s="289" t="n"/>
      <x:c r="Z76" s="289" t="n"/>
    </x:row>
    <x:row r="77">
      <x:c r="A77" s="113" t="n"/>
      <x:c r="B77" s="113" t="n"/>
      <x:c r="C77" s="113" t="n"/>
      <x:c r="D77" s="113" t="n"/>
      <x:c r="E77" s="289" t="n"/>
      <x:c r="F77" s="289" t="n"/>
      <x:c r="G77" s="289" t="n"/>
      <x:c r="H77" s="289" t="n"/>
      <x:c r="I77" s="289" t="n"/>
      <x:c r="J77" s="289" t="n"/>
      <x:c r="K77" s="289" t="n"/>
      <x:c r="L77" s="289" t="n"/>
      <x:c r="M77" s="289" t="n"/>
      <x:c r="N77" s="289" t="n"/>
      <x:c r="O77" s="289" t="n"/>
      <x:c r="P77" s="289" t="n"/>
      <x:c r="Q77" s="289" t="n"/>
      <x:c r="R77" s="289" t="n"/>
      <x:c r="S77" s="289" t="n"/>
      <x:c r="T77" s="289" t="n"/>
      <x:c r="U77" s="289" t="n"/>
      <x:c r="V77" s="289" t="n"/>
      <x:c r="W77" s="289" t="n"/>
      <x:c r="X77" s="289" t="n"/>
      <x:c r="Y77" s="289" t="n"/>
      <x:c r="Z77" s="289" t="n"/>
    </x:row>
    <x:row r="78">
      <x:c r="A78" s="113" t="n"/>
      <x:c r="B78" s="113" t="n"/>
      <x:c r="C78" s="113" t="n"/>
      <x:c r="D78" s="113" t="n"/>
      <x:c r="E78" s="289" t="n"/>
      <x:c r="F78" s="289" t="n"/>
      <x:c r="G78" s="289" t="n"/>
      <x:c r="H78" s="289" t="n"/>
      <x:c r="I78" s="289" t="n"/>
      <x:c r="J78" s="289" t="n"/>
      <x:c r="K78" s="289" t="n"/>
      <x:c r="L78" s="289" t="n"/>
      <x:c r="M78" s="289" t="n"/>
      <x:c r="N78" s="289" t="n"/>
      <x:c r="O78" s="289" t="n"/>
      <x:c r="P78" s="289" t="n"/>
      <x:c r="Q78" s="289" t="n"/>
      <x:c r="R78" s="289" t="n"/>
      <x:c r="S78" s="289" t="n"/>
      <x:c r="T78" s="289" t="n"/>
      <x:c r="U78" s="289" t="n"/>
      <x:c r="V78" s="289" t="n"/>
      <x:c r="W78" s="289" t="n"/>
      <x:c r="X78" s="289" t="n"/>
      <x:c r="Y78" s="289" t="n"/>
      <x:c r="Z78" s="289" t="n"/>
    </x:row>
    <x:row r="79">
      <x:c r="A79" s="113" t="n"/>
      <x:c r="B79" s="113" t="n"/>
      <x:c r="C79" s="113" t="n"/>
      <x:c r="D79" s="113" t="n"/>
      <x:c r="E79" s="289" t="n"/>
      <x:c r="F79" s="289" t="n"/>
      <x:c r="G79" s="289" t="n"/>
      <x:c r="H79" s="289" t="n"/>
      <x:c r="I79" s="289" t="n"/>
      <x:c r="J79" s="289" t="n"/>
      <x:c r="K79" s="289" t="n"/>
      <x:c r="L79" s="289" t="n"/>
      <x:c r="M79" s="289" t="n"/>
      <x:c r="N79" s="289" t="n"/>
      <x:c r="O79" s="289" t="n"/>
      <x:c r="P79" s="289" t="n"/>
      <x:c r="Q79" s="289" t="n"/>
      <x:c r="R79" s="289" t="n"/>
      <x:c r="S79" s="289" t="n"/>
      <x:c r="T79" s="289" t="n"/>
      <x:c r="U79" s="289" t="n"/>
      <x:c r="V79" s="289" t="n"/>
      <x:c r="W79" s="289" t="n"/>
      <x:c r="X79" s="289" t="n"/>
      <x:c r="Y79" s="289" t="n"/>
      <x:c r="Z79" s="289" t="n"/>
    </x:row>
    <x:row r="80">
      <x:c r="A80" s="113" t="n"/>
      <x:c r="B80" s="113" t="n"/>
      <x:c r="C80" s="113" t="n"/>
      <x:c r="D80" s="113" t="n"/>
      <x:c r="E80" s="289" t="n"/>
      <x:c r="F80" s="289" t="n"/>
      <x:c r="G80" s="289" t="n"/>
      <x:c r="H80" s="289" t="n"/>
      <x:c r="I80" s="289" t="n"/>
      <x:c r="J80" s="289" t="n"/>
      <x:c r="K80" s="289" t="n"/>
      <x:c r="L80" s="289" t="n"/>
      <x:c r="M80" s="289" t="n"/>
      <x:c r="N80" s="289" t="n"/>
      <x:c r="O80" s="289" t="n"/>
      <x:c r="P80" s="289" t="n"/>
      <x:c r="Q80" s="289" t="n"/>
      <x:c r="R80" s="289" t="n"/>
      <x:c r="S80" s="289" t="n"/>
      <x:c r="T80" s="289" t="n"/>
      <x:c r="U80" s="289" t="n"/>
      <x:c r="V80" s="289" t="n"/>
      <x:c r="W80" s="289" t="n"/>
      <x:c r="X80" s="289" t="n"/>
      <x:c r="Y80" s="289" t="n"/>
      <x:c r="Z80" s="289" t="n"/>
    </x:row>
    <x:row r="81">
      <x:c r="A81" s="113" t="n"/>
      <x:c r="B81" s="113" t="n"/>
      <x:c r="C81" s="113" t="n"/>
      <x:c r="D81" s="113" t="n"/>
      <x:c r="E81" s="289" t="n"/>
      <x:c r="F81" s="289" t="n"/>
      <x:c r="G81" s="289" t="n"/>
      <x:c r="H81" s="289" t="n"/>
      <x:c r="I81" s="289" t="n"/>
      <x:c r="J81" s="289" t="n"/>
      <x:c r="K81" s="289" t="n"/>
      <x:c r="L81" s="289" t="n"/>
      <x:c r="M81" s="289" t="n"/>
      <x:c r="N81" s="289" t="n"/>
      <x:c r="O81" s="289" t="n"/>
      <x:c r="P81" s="289" t="n"/>
      <x:c r="Q81" s="289" t="n"/>
      <x:c r="R81" s="289" t="n"/>
      <x:c r="S81" s="289" t="n"/>
      <x:c r="T81" s="289" t="n"/>
      <x:c r="U81" s="289" t="n"/>
      <x:c r="V81" s="289" t="n"/>
      <x:c r="W81" s="289" t="n"/>
      <x:c r="X81" s="289" t="n"/>
      <x:c r="Y81" s="289" t="n"/>
      <x:c r="Z81" s="289" t="n"/>
    </x:row>
    <x:row r="82">
      <x:c r="A82" s="113" t="n"/>
      <x:c r="B82" s="113" t="n"/>
      <x:c r="C82" s="113" t="n"/>
      <x:c r="D82" s="113" t="n"/>
      <x:c r="E82" s="289" t="n"/>
      <x:c r="F82" s="289" t="n"/>
      <x:c r="G82" s="289" t="n"/>
      <x:c r="H82" s="289" t="n"/>
      <x:c r="I82" s="289" t="n"/>
      <x:c r="J82" s="289" t="n"/>
      <x:c r="K82" s="289" t="n"/>
      <x:c r="L82" s="289" t="n"/>
      <x:c r="M82" s="289" t="n"/>
      <x:c r="N82" s="289" t="n"/>
      <x:c r="O82" s="289" t="n"/>
      <x:c r="P82" s="289" t="n"/>
      <x:c r="Q82" s="289" t="n"/>
      <x:c r="R82" s="289" t="n"/>
      <x:c r="S82" s="289" t="n"/>
      <x:c r="T82" s="289" t="n"/>
      <x:c r="U82" s="289" t="n"/>
      <x:c r="V82" s="289" t="n"/>
      <x:c r="W82" s="289" t="n"/>
      <x:c r="X82" s="289" t="n"/>
      <x:c r="Y82" s="289" t="n"/>
      <x:c r="Z82" s="289" t="n"/>
    </x:row>
    <x:row r="83">
      <x:c r="A83" s="113" t="n"/>
      <x:c r="B83" s="113" t="n"/>
      <x:c r="C83" s="113" t="n"/>
      <x:c r="D83" s="113" t="n"/>
      <x:c r="E83" s="289" t="n"/>
      <x:c r="F83" s="289" t="n"/>
      <x:c r="G83" s="289" t="n"/>
      <x:c r="H83" s="289" t="n"/>
      <x:c r="I83" s="289" t="n"/>
      <x:c r="J83" s="289" t="n"/>
      <x:c r="K83" s="289" t="n"/>
      <x:c r="L83" s="289" t="n"/>
      <x:c r="M83" s="289" t="n"/>
      <x:c r="N83" s="289" t="n"/>
      <x:c r="O83" s="289" t="n"/>
      <x:c r="P83" s="289" t="n"/>
      <x:c r="Q83" s="289" t="n"/>
      <x:c r="R83" s="289" t="n"/>
      <x:c r="S83" s="289" t="n"/>
      <x:c r="T83" s="289" t="n"/>
      <x:c r="U83" s="289" t="n"/>
      <x:c r="V83" s="289" t="n"/>
      <x:c r="W83" s="289" t="n"/>
      <x:c r="X83" s="289" t="n"/>
      <x:c r="Y83" s="289" t="n"/>
      <x:c r="Z83" s="289" t="n"/>
    </x:row>
    <x:row r="84">
      <x:c r="A84" s="113" t="n"/>
      <x:c r="B84" s="113" t="n"/>
      <x:c r="C84" s="113" t="n"/>
      <x:c r="D84" s="113" t="n"/>
      <x:c r="E84" s="289" t="n"/>
      <x:c r="F84" s="289" t="n"/>
      <x:c r="G84" s="289" t="n"/>
      <x:c r="H84" s="289" t="n"/>
      <x:c r="I84" s="289" t="n"/>
      <x:c r="J84" s="289" t="n"/>
      <x:c r="K84" s="289" t="n"/>
      <x:c r="L84" s="289" t="n"/>
      <x:c r="M84" s="289" t="n"/>
      <x:c r="N84" s="289" t="n"/>
      <x:c r="O84" s="289" t="n"/>
      <x:c r="P84" s="289" t="n"/>
      <x:c r="Q84" s="289" t="n"/>
      <x:c r="R84" s="289" t="n"/>
      <x:c r="S84" s="289" t="n"/>
      <x:c r="T84" s="289" t="n"/>
      <x:c r="U84" s="289" t="n"/>
      <x:c r="V84" s="289" t="n"/>
      <x:c r="W84" s="289" t="n"/>
      <x:c r="X84" s="289" t="n"/>
      <x:c r="Y84" s="289" t="n"/>
      <x:c r="Z84" s="289" t="n"/>
    </x:row>
    <x:row r="85">
      <x:c r="A85" s="113" t="n"/>
      <x:c r="B85" s="113" t="n"/>
      <x:c r="C85" s="113" t="n"/>
      <x:c r="D85" s="113" t="n"/>
      <x:c r="E85" s="289" t="n"/>
      <x:c r="F85" s="289" t="n"/>
      <x:c r="G85" s="289" t="n"/>
      <x:c r="H85" s="289" t="n"/>
      <x:c r="I85" s="289" t="n"/>
      <x:c r="J85" s="289" t="n"/>
      <x:c r="K85" s="289" t="n"/>
      <x:c r="L85" s="289" t="n"/>
      <x:c r="M85" s="289" t="n"/>
      <x:c r="N85" s="289" t="n"/>
      <x:c r="O85" s="289" t="n"/>
      <x:c r="P85" s="289" t="n"/>
      <x:c r="Q85" s="289" t="n"/>
      <x:c r="R85" s="289" t="n"/>
      <x:c r="S85" s="289" t="n"/>
      <x:c r="T85" s="289" t="n"/>
      <x:c r="U85" s="289" t="n"/>
      <x:c r="V85" s="289" t="n"/>
      <x:c r="W85" s="289" t="n"/>
      <x:c r="X85" s="289" t="n"/>
      <x:c r="Y85" s="289" t="n"/>
      <x:c r="Z85" s="289" t="n"/>
    </x:row>
    <x:row r="86">
      <x:c r="A86" s="113" t="n"/>
      <x:c r="B86" s="113" t="n"/>
      <x:c r="C86" s="113" t="n"/>
      <x:c r="D86" s="113" t="n"/>
      <x:c r="E86" s="289" t="n"/>
      <x:c r="F86" s="289" t="n"/>
      <x:c r="G86" s="289" t="n"/>
      <x:c r="H86" s="289" t="n"/>
      <x:c r="I86" s="289" t="n"/>
      <x:c r="J86" s="289" t="n"/>
      <x:c r="K86" s="289" t="n"/>
      <x:c r="L86" s="289" t="n"/>
      <x:c r="M86" s="289" t="n"/>
      <x:c r="N86" s="289" t="n"/>
      <x:c r="O86" s="289" t="n"/>
      <x:c r="P86" s="289" t="n"/>
      <x:c r="Q86" s="289" t="n"/>
      <x:c r="R86" s="289" t="n"/>
      <x:c r="S86" s="289" t="n"/>
      <x:c r="T86" s="289" t="n"/>
      <x:c r="U86" s="289" t="n"/>
      <x:c r="V86" s="289" t="n"/>
      <x:c r="W86" s="289" t="n"/>
      <x:c r="X86" s="289" t="n"/>
      <x:c r="Y86" s="289" t="n"/>
      <x:c r="Z86" s="289" t="n"/>
    </x:row>
    <x:row r="87">
      <x:c r="A87" s="113" t="n"/>
      <x:c r="B87" s="113" t="n"/>
      <x:c r="C87" s="113" t="n"/>
      <x:c r="D87" s="113" t="n"/>
      <x:c r="E87" s="289" t="n"/>
      <x:c r="F87" s="289" t="n"/>
      <x:c r="G87" s="289" t="n"/>
      <x:c r="H87" s="289" t="n"/>
      <x:c r="I87" s="289" t="n"/>
      <x:c r="J87" s="289" t="n"/>
      <x:c r="K87" s="289" t="n"/>
      <x:c r="L87" s="289" t="n"/>
      <x:c r="M87" s="289" t="n"/>
      <x:c r="N87" s="289" t="n"/>
      <x:c r="O87" s="289" t="n"/>
      <x:c r="P87" s="289" t="n"/>
      <x:c r="Q87" s="289" t="n"/>
      <x:c r="R87" s="289" t="n"/>
      <x:c r="S87" s="289" t="n"/>
      <x:c r="T87" s="289" t="n"/>
      <x:c r="U87" s="289" t="n"/>
      <x:c r="V87" s="289" t="n"/>
      <x:c r="W87" s="289" t="n"/>
      <x:c r="X87" s="289" t="n"/>
      <x:c r="Y87" s="289" t="n"/>
      <x:c r="Z87" s="289" t="n"/>
    </x:row>
    <x:row r="88">
      <x:c r="A88" s="113" t="n"/>
      <x:c r="B88" s="113" t="n"/>
      <x:c r="C88" s="113" t="n"/>
      <x:c r="D88" s="113" t="n"/>
      <x:c r="E88" s="289" t="n"/>
      <x:c r="F88" s="289" t="n"/>
      <x:c r="G88" s="289" t="n"/>
      <x:c r="H88" s="289" t="n"/>
      <x:c r="I88" s="289" t="n"/>
      <x:c r="J88" s="289" t="n"/>
      <x:c r="K88" s="289" t="n"/>
      <x:c r="L88" s="289" t="n"/>
      <x:c r="M88" s="289" t="n"/>
      <x:c r="N88" s="289" t="n"/>
      <x:c r="O88" s="289" t="n"/>
      <x:c r="P88" s="289" t="n"/>
      <x:c r="Q88" s="289" t="n"/>
      <x:c r="R88" s="289" t="n"/>
      <x:c r="S88" s="289" t="n"/>
      <x:c r="T88" s="289" t="n"/>
      <x:c r="U88" s="289" t="n"/>
      <x:c r="V88" s="289" t="n"/>
      <x:c r="W88" s="289" t="n"/>
      <x:c r="X88" s="289" t="n"/>
      <x:c r="Y88" s="289" t="n"/>
      <x:c r="Z88" s="289" t="n"/>
    </x:row>
    <x:row r="89">
      <x:c r="A89" s="113" t="n"/>
      <x:c r="B89" s="113" t="n"/>
      <x:c r="C89" s="113" t="n"/>
      <x:c r="D89" s="113" t="n"/>
      <x:c r="E89" s="289" t="n"/>
      <x:c r="F89" s="289" t="n"/>
      <x:c r="G89" s="289" t="n"/>
      <x:c r="H89" s="289" t="n"/>
      <x:c r="I89" s="289" t="n"/>
      <x:c r="J89" s="289" t="n"/>
      <x:c r="K89" s="289" t="n"/>
      <x:c r="L89" s="289" t="n"/>
      <x:c r="M89" s="289" t="n"/>
      <x:c r="N89" s="289" t="n"/>
      <x:c r="O89" s="289" t="n"/>
      <x:c r="P89" s="289" t="n"/>
      <x:c r="Q89" s="289" t="n"/>
      <x:c r="R89" s="289" t="n"/>
      <x:c r="S89" s="289" t="n"/>
      <x:c r="T89" s="289" t="n"/>
      <x:c r="U89" s="289" t="n"/>
      <x:c r="V89" s="289" t="n"/>
      <x:c r="W89" s="289" t="n"/>
      <x:c r="X89" s="289" t="n"/>
      <x:c r="Y89" s="289" t="n"/>
      <x:c r="Z89" s="289" t="n"/>
    </x:row>
    <x:row r="90">
      <x:c r="A90" s="113" t="n"/>
      <x:c r="B90" s="113" t="n"/>
      <x:c r="C90" s="113" t="n"/>
      <x:c r="D90" s="113" t="n"/>
      <x:c r="E90" s="289" t="n"/>
      <x:c r="F90" s="289" t="n"/>
      <x:c r="G90" s="289" t="n"/>
      <x:c r="H90" s="289" t="n"/>
      <x:c r="I90" s="289" t="n"/>
      <x:c r="J90" s="289" t="n"/>
      <x:c r="K90" s="289" t="n"/>
      <x:c r="L90" s="289" t="n"/>
      <x:c r="M90" s="289" t="n"/>
      <x:c r="N90" s="289" t="n"/>
      <x:c r="O90" s="289" t="n"/>
      <x:c r="P90" s="289" t="n"/>
      <x:c r="Q90" s="289" t="n"/>
      <x:c r="R90" s="289" t="n"/>
      <x:c r="S90" s="289" t="n"/>
      <x:c r="T90" s="289" t="n"/>
      <x:c r="U90" s="289" t="n"/>
      <x:c r="V90" s="289" t="n"/>
      <x:c r="W90" s="289" t="n"/>
      <x:c r="X90" s="289" t="n"/>
      <x:c r="Y90" s="289" t="n"/>
      <x:c r="Z90" s="289" t="n"/>
    </x:row>
    <x:row r="91">
      <x:c r="A91" s="113" t="n"/>
      <x:c r="B91" s="113" t="n"/>
      <x:c r="C91" s="113" t="n"/>
      <x:c r="D91" s="113" t="n"/>
      <x:c r="E91" s="289" t="n"/>
      <x:c r="F91" s="289" t="n"/>
      <x:c r="G91" s="289" t="n"/>
      <x:c r="H91" s="289" t="n"/>
      <x:c r="I91" s="289" t="n"/>
      <x:c r="J91" s="289" t="n"/>
      <x:c r="K91" s="289" t="n"/>
      <x:c r="L91" s="289" t="n"/>
      <x:c r="M91" s="289" t="n"/>
      <x:c r="N91" s="289" t="n"/>
      <x:c r="O91" s="289" t="n"/>
      <x:c r="P91" s="289" t="n"/>
      <x:c r="Q91" s="289" t="n"/>
      <x:c r="R91" s="289" t="n"/>
      <x:c r="S91" s="289" t="n"/>
      <x:c r="T91" s="289" t="n"/>
      <x:c r="U91" s="289" t="n"/>
      <x:c r="V91" s="289" t="n"/>
      <x:c r="W91" s="289" t="n"/>
      <x:c r="X91" s="289" t="n"/>
      <x:c r="Y91" s="289" t="n"/>
      <x:c r="Z91" s="289" t="n"/>
    </x:row>
    <x:row r="92">
      <x:c r="A92" s="113" t="n"/>
      <x:c r="B92" s="113" t="n"/>
      <x:c r="C92" s="113" t="n"/>
      <x:c r="D92" s="113" t="n"/>
      <x:c r="E92" s="289" t="n"/>
      <x:c r="F92" s="289" t="n"/>
      <x:c r="G92" s="289" t="n"/>
      <x:c r="H92" s="289" t="n"/>
      <x:c r="I92" s="289" t="n"/>
      <x:c r="J92" s="289" t="n"/>
      <x:c r="K92" s="289" t="n"/>
      <x:c r="L92" s="289" t="n"/>
      <x:c r="M92" s="289" t="n"/>
      <x:c r="N92" s="289" t="n"/>
      <x:c r="O92" s="289" t="n"/>
      <x:c r="P92" s="289" t="n"/>
      <x:c r="Q92" s="289" t="n"/>
      <x:c r="R92" s="289" t="n"/>
      <x:c r="S92" s="289" t="n"/>
      <x:c r="T92" s="289" t="n"/>
      <x:c r="U92" s="289" t="n"/>
      <x:c r="V92" s="289" t="n"/>
      <x:c r="W92" s="289" t="n"/>
      <x:c r="X92" s="289" t="n"/>
      <x:c r="Y92" s="289" t="n"/>
      <x:c r="Z92" s="289" t="n"/>
    </x:row>
    <x:row r="93">
      <x:c r="A93" s="113" t="n"/>
      <x:c r="B93" s="113" t="n"/>
      <x:c r="C93" s="113" t="n"/>
      <x:c r="D93" s="113" t="n"/>
      <x:c r="E93" s="289" t="n"/>
      <x:c r="F93" s="289" t="n"/>
      <x:c r="G93" s="289" t="n"/>
      <x:c r="H93" s="289" t="n"/>
      <x:c r="I93" s="289" t="n"/>
      <x:c r="J93" s="289" t="n"/>
      <x:c r="K93" s="289" t="n"/>
      <x:c r="L93" s="289" t="n"/>
      <x:c r="M93" s="289" t="n"/>
      <x:c r="N93" s="289" t="n"/>
      <x:c r="O93" s="289" t="n"/>
      <x:c r="P93" s="289" t="n"/>
      <x:c r="Q93" s="289" t="n"/>
      <x:c r="R93" s="289" t="n"/>
      <x:c r="S93" s="289" t="n"/>
      <x:c r="T93" s="289" t="n"/>
      <x:c r="U93" s="289" t="n"/>
      <x:c r="V93" s="289" t="n"/>
      <x:c r="W93" s="289" t="n"/>
      <x:c r="X93" s="289" t="n"/>
      <x:c r="Y93" s="289" t="n"/>
      <x:c r="Z93" s="289" t="n"/>
    </x:row>
    <x:row r="94">
      <x:c r="A94" s="113" t="n"/>
      <x:c r="B94" s="113" t="n"/>
      <x:c r="C94" s="113" t="n"/>
      <x:c r="D94" s="113" t="n"/>
      <x:c r="E94" s="289" t="n"/>
      <x:c r="F94" s="289" t="n"/>
      <x:c r="G94" s="289" t="n"/>
      <x:c r="H94" s="289" t="n"/>
      <x:c r="I94" s="289" t="n"/>
      <x:c r="J94" s="289" t="n"/>
      <x:c r="K94" s="289" t="n"/>
      <x:c r="L94" s="289" t="n"/>
      <x:c r="M94" s="289" t="n"/>
      <x:c r="N94" s="289" t="n"/>
      <x:c r="O94" s="289" t="n"/>
      <x:c r="P94" s="289" t="n"/>
      <x:c r="Q94" s="289" t="n"/>
      <x:c r="R94" s="289" t="n"/>
      <x:c r="S94" s="289" t="n"/>
      <x:c r="T94" s="289" t="n"/>
      <x:c r="U94" s="289" t="n"/>
      <x:c r="V94" s="289" t="n"/>
      <x:c r="W94" s="289" t="n"/>
      <x:c r="X94" s="289" t="n"/>
      <x:c r="Y94" s="289" t="n"/>
      <x:c r="Z94" s="289" t="n"/>
    </x:row>
    <x:row r="95">
      <x:c r="A95" s="113" t="n"/>
      <x:c r="B95" s="113" t="n"/>
      <x:c r="C95" s="113" t="n"/>
      <x:c r="D95" s="113" t="n"/>
      <x:c r="E95" s="289" t="n"/>
      <x:c r="F95" s="289" t="n"/>
      <x:c r="G95" s="289" t="n"/>
      <x:c r="H95" s="289" t="n"/>
      <x:c r="I95" s="289" t="n"/>
      <x:c r="J95" s="289" t="n"/>
      <x:c r="K95" s="289" t="n"/>
      <x:c r="L95" s="289" t="n"/>
      <x:c r="M95" s="289" t="n"/>
      <x:c r="N95" s="289" t="n"/>
      <x:c r="O95" s="289" t="n"/>
      <x:c r="P95" s="289" t="n"/>
      <x:c r="Q95" s="289" t="n"/>
      <x:c r="R95" s="289" t="n"/>
      <x:c r="S95" s="289" t="n"/>
      <x:c r="T95" s="289" t="n"/>
      <x:c r="U95" s="289" t="n"/>
      <x:c r="V95" s="289" t="n"/>
      <x:c r="W95" s="289" t="n"/>
      <x:c r="X95" s="289" t="n"/>
      <x:c r="Y95" s="289" t="n"/>
      <x:c r="Z95" s="289" t="n"/>
    </x:row>
    <x:row r="96">
      <x:c r="A96" s="113" t="n"/>
      <x:c r="B96" s="113" t="n"/>
      <x:c r="C96" s="113" t="n"/>
      <x:c r="D96" s="113" t="n"/>
      <x:c r="E96" s="289" t="n"/>
      <x:c r="F96" s="289" t="n"/>
      <x:c r="G96" s="289" t="n"/>
      <x:c r="H96" s="289" t="n"/>
      <x:c r="I96" s="289" t="n"/>
      <x:c r="J96" s="289" t="n"/>
      <x:c r="K96" s="289" t="n"/>
      <x:c r="L96" s="289" t="n"/>
      <x:c r="M96" s="289" t="n"/>
      <x:c r="N96" s="289" t="n"/>
      <x:c r="O96" s="289" t="n"/>
      <x:c r="P96" s="289" t="n"/>
      <x:c r="Q96" s="289" t="n"/>
      <x:c r="R96" s="289" t="n"/>
      <x:c r="S96" s="289" t="n"/>
      <x:c r="T96" s="289" t="n"/>
      <x:c r="U96" s="289" t="n"/>
      <x:c r="V96" s="289" t="n"/>
      <x:c r="W96" s="289" t="n"/>
      <x:c r="X96" s="289" t="n"/>
      <x:c r="Y96" s="289" t="n"/>
      <x:c r="Z96" s="289" t="n"/>
    </x:row>
    <x:row r="97">
      <x:c r="A97" s="113" t="n"/>
      <x:c r="B97" s="113" t="n"/>
      <x:c r="C97" s="113" t="n"/>
      <x:c r="D97" s="113" t="n"/>
      <x:c r="E97" s="289" t="n"/>
      <x:c r="F97" s="289" t="n"/>
      <x:c r="G97" s="289" t="n"/>
      <x:c r="H97" s="289" t="n"/>
      <x:c r="I97" s="289" t="n"/>
      <x:c r="J97" s="289" t="n"/>
      <x:c r="K97" s="289" t="n"/>
      <x:c r="L97" s="289" t="n"/>
      <x:c r="M97" s="289" t="n"/>
      <x:c r="N97" s="289" t="n"/>
      <x:c r="O97" s="289" t="n"/>
      <x:c r="P97" s="289" t="n"/>
      <x:c r="Q97" s="289" t="n"/>
      <x:c r="R97" s="289" t="n"/>
      <x:c r="S97" s="289" t="n"/>
      <x:c r="T97" s="289" t="n"/>
      <x:c r="U97" s="289" t="n"/>
      <x:c r="V97" s="289" t="n"/>
      <x:c r="W97" s="289" t="n"/>
      <x:c r="X97" s="289" t="n"/>
      <x:c r="Y97" s="289" t="n"/>
      <x:c r="Z97" s="289" t="n"/>
    </x:row>
    <x:row r="98">
      <x:c r="A98" s="113" t="n"/>
      <x:c r="B98" s="113" t="n"/>
      <x:c r="C98" s="113" t="n"/>
      <x:c r="D98" s="113" t="n"/>
      <x:c r="E98" s="289" t="n"/>
      <x:c r="F98" s="289" t="n"/>
      <x:c r="G98" s="289" t="n"/>
      <x:c r="H98" s="289" t="n"/>
      <x:c r="I98" s="289" t="n"/>
      <x:c r="J98" s="289" t="n"/>
      <x:c r="K98" s="289" t="n"/>
      <x:c r="L98" s="289" t="n"/>
      <x:c r="M98" s="289" t="n"/>
      <x:c r="N98" s="289" t="n"/>
      <x:c r="O98" s="289" t="n"/>
      <x:c r="P98" s="289" t="n"/>
      <x:c r="Q98" s="289" t="n"/>
      <x:c r="R98" s="289" t="n"/>
      <x:c r="S98" s="289" t="n"/>
      <x:c r="T98" s="289" t="n"/>
      <x:c r="U98" s="289" t="n"/>
      <x:c r="V98" s="289" t="n"/>
      <x:c r="W98" s="289" t="n"/>
      <x:c r="X98" s="289" t="n"/>
      <x:c r="Y98" s="289" t="n"/>
      <x:c r="Z98" s="289" t="n"/>
    </x:row>
    <x:row r="99">
      <x:c r="A99" s="113" t="n"/>
      <x:c r="B99" s="113" t="n"/>
      <x:c r="C99" s="113" t="n"/>
      <x:c r="D99" s="113" t="n"/>
      <x:c r="E99" s="289" t="n"/>
      <x:c r="F99" s="289" t="n"/>
      <x:c r="G99" s="289" t="n"/>
      <x:c r="H99" s="289" t="n"/>
      <x:c r="I99" s="289" t="n"/>
      <x:c r="J99" s="289" t="n"/>
      <x:c r="K99" s="289" t="n"/>
      <x:c r="L99" s="289" t="n"/>
      <x:c r="M99" s="289" t="n"/>
      <x:c r="N99" s="289" t="n"/>
      <x:c r="O99" s="289" t="n"/>
      <x:c r="P99" s="289" t="n"/>
      <x:c r="Q99" s="289" t="n"/>
      <x:c r="R99" s="289" t="n"/>
      <x:c r="S99" s="289" t="n"/>
      <x:c r="T99" s="289" t="n"/>
      <x:c r="U99" s="289" t="n"/>
      <x:c r="V99" s="289" t="n"/>
      <x:c r="W99" s="289" t="n"/>
      <x:c r="X99" s="289" t="n"/>
      <x:c r="Y99" s="289" t="n"/>
      <x:c r="Z99" s="289" t="n"/>
    </x:row>
    <x:row r="100">
      <x:c r="A100" s="113" t="n"/>
      <x:c r="B100" s="113" t="n"/>
      <x:c r="C100" s="113" t="n"/>
      <x:c r="D100" s="113" t="n"/>
      <x:c r="E100" s="289" t="n"/>
      <x:c r="F100" s="289" t="n"/>
      <x:c r="G100" s="289" t="n"/>
      <x:c r="H100" s="289" t="n"/>
      <x:c r="I100" s="289" t="n"/>
      <x:c r="J100" s="289" t="n"/>
      <x:c r="K100" s="289" t="n"/>
      <x:c r="L100" s="289" t="n"/>
      <x:c r="M100" s="289" t="n"/>
      <x:c r="N100" s="289" t="n"/>
      <x:c r="O100" s="289" t="n"/>
      <x:c r="P100" s="289" t="n"/>
      <x:c r="Q100" s="289" t="n"/>
      <x:c r="R100" s="289" t="n"/>
      <x:c r="S100" s="289" t="n"/>
      <x:c r="T100" s="289" t="n"/>
      <x:c r="U100" s="289" t="n"/>
      <x:c r="V100" s="289" t="n"/>
      <x:c r="W100" s="289" t="n"/>
      <x:c r="X100" s="289" t="n"/>
      <x:c r="Y100" s="289" t="n"/>
      <x:c r="Z100" s="289" t="n"/>
    </x:row>
    <x:row r="101">
      <x:c r="A101" s="113" t="n"/>
      <x:c r="B101" s="113" t="n"/>
      <x:c r="C101" s="113" t="n"/>
      <x:c r="D101" s="113" t="n"/>
      <x:c r="E101" s="289" t="n"/>
      <x:c r="F101" s="289" t="n"/>
      <x:c r="G101" s="289" t="n"/>
      <x:c r="H101" s="289" t="n"/>
      <x:c r="I101" s="289" t="n"/>
      <x:c r="J101" s="289" t="n"/>
      <x:c r="K101" s="289" t="n"/>
      <x:c r="L101" s="289" t="n"/>
      <x:c r="M101" s="289" t="n"/>
      <x:c r="N101" s="289" t="n"/>
      <x:c r="O101" s="289" t="n"/>
      <x:c r="P101" s="289" t="n"/>
      <x:c r="Q101" s="289" t="n"/>
      <x:c r="R101" s="289" t="n"/>
      <x:c r="S101" s="289" t="n"/>
      <x:c r="T101" s="289" t="n"/>
      <x:c r="U101" s="289" t="n"/>
      <x:c r="V101" s="289" t="n"/>
      <x:c r="W101" s="289" t="n"/>
      <x:c r="X101" s="289" t="n"/>
      <x:c r="Y101" s="289" t="n"/>
      <x:c r="Z101" s="289" t="n"/>
    </x:row>
    <x:row r="102">
      <x:c r="A102" s="113" t="n"/>
      <x:c r="B102" s="113" t="n"/>
      <x:c r="C102" s="113" t="n"/>
      <x:c r="D102" s="113" t="n"/>
      <x:c r="E102" s="289" t="n"/>
      <x:c r="F102" s="289" t="n"/>
      <x:c r="G102" s="289" t="n"/>
      <x:c r="H102" s="289" t="n"/>
      <x:c r="I102" s="289" t="n"/>
      <x:c r="J102" s="289" t="n"/>
      <x:c r="K102" s="289" t="n"/>
      <x:c r="L102" s="289" t="n"/>
      <x:c r="M102" s="289" t="n"/>
      <x:c r="N102" s="289" t="n"/>
      <x:c r="O102" s="289" t="n"/>
      <x:c r="P102" s="289" t="n"/>
      <x:c r="Q102" s="289" t="n"/>
      <x:c r="R102" s="289" t="n"/>
      <x:c r="S102" s="289" t="n"/>
      <x:c r="T102" s="289" t="n"/>
      <x:c r="U102" s="289" t="n"/>
      <x:c r="V102" s="289" t="n"/>
      <x:c r="W102" s="289" t="n"/>
      <x:c r="X102" s="289" t="n"/>
      <x:c r="Y102" s="289" t="n"/>
      <x:c r="Z102" s="289" t="n"/>
    </x:row>
    <x:row r="103">
      <x:c r="A103" s="113" t="n"/>
      <x:c r="B103" s="113" t="n"/>
      <x:c r="C103" s="113" t="n"/>
      <x:c r="D103" s="113" t="n"/>
      <x:c r="E103" s="289" t="n"/>
      <x:c r="F103" s="289" t="n"/>
      <x:c r="G103" s="289" t="n"/>
      <x:c r="H103" s="289" t="n"/>
      <x:c r="I103" s="289" t="n"/>
      <x:c r="J103" s="289" t="n"/>
      <x:c r="K103" s="289" t="n"/>
      <x:c r="L103" s="289" t="n"/>
      <x:c r="M103" s="289" t="n"/>
      <x:c r="N103" s="289" t="n"/>
      <x:c r="O103" s="289" t="n"/>
      <x:c r="P103" s="289" t="n"/>
      <x:c r="Q103" s="289" t="n"/>
      <x:c r="R103" s="289" t="n"/>
      <x:c r="S103" s="289" t="n"/>
      <x:c r="T103" s="289" t="n"/>
      <x:c r="U103" s="289" t="n"/>
      <x:c r="V103" s="289" t="n"/>
      <x:c r="W103" s="289" t="n"/>
      <x:c r="X103" s="289" t="n"/>
      <x:c r="Y103" s="289" t="n"/>
      <x:c r="Z103" s="289" t="n"/>
    </x:row>
    <x:row r="104">
      <x:c r="A104" s="113" t="n"/>
      <x:c r="B104" s="113" t="n"/>
      <x:c r="C104" s="113" t="n"/>
      <x:c r="D104" s="113" t="n"/>
      <x:c r="E104" s="289" t="n"/>
      <x:c r="F104" s="289" t="n"/>
      <x:c r="G104" s="289" t="n"/>
      <x:c r="H104" s="289" t="n"/>
      <x:c r="I104" s="289" t="n"/>
      <x:c r="J104" s="289" t="n"/>
      <x:c r="K104" s="289" t="n"/>
      <x:c r="L104" s="289" t="n"/>
      <x:c r="M104" s="289" t="n"/>
      <x:c r="N104" s="289" t="n"/>
      <x:c r="O104" s="289" t="n"/>
      <x:c r="P104" s="289" t="n"/>
      <x:c r="Q104" s="289" t="n"/>
      <x:c r="R104" s="289" t="n"/>
      <x:c r="S104" s="289" t="n"/>
      <x:c r="T104" s="289" t="n"/>
      <x:c r="U104" s="289" t="n"/>
      <x:c r="V104" s="289" t="n"/>
      <x:c r="W104" s="289" t="n"/>
      <x:c r="X104" s="289" t="n"/>
      <x:c r="Y104" s="289" t="n"/>
      <x:c r="Z104" s="289" t="n"/>
    </x:row>
    <x:row r="105">
      <x:c r="A105" s="113" t="n"/>
      <x:c r="B105" s="113" t="n"/>
      <x:c r="C105" s="113" t="n"/>
      <x:c r="D105" s="113" t="n"/>
      <x:c r="E105" s="289" t="n"/>
      <x:c r="F105" s="289" t="n"/>
      <x:c r="G105" s="289" t="n"/>
      <x:c r="H105" s="289" t="n"/>
      <x:c r="I105" s="289" t="n"/>
      <x:c r="J105" s="289" t="n"/>
      <x:c r="K105" s="289" t="n"/>
      <x:c r="L105" s="289" t="n"/>
      <x:c r="M105" s="289" t="n"/>
      <x:c r="N105" s="289" t="n"/>
      <x:c r="O105" s="289" t="n"/>
      <x:c r="P105" s="289" t="n"/>
      <x:c r="Q105" s="289" t="n"/>
      <x:c r="R105" s="289" t="n"/>
      <x:c r="S105" s="289" t="n"/>
      <x:c r="T105" s="289" t="n"/>
      <x:c r="U105" s="289" t="n"/>
      <x:c r="V105" s="289" t="n"/>
      <x:c r="W105" s="289" t="n"/>
      <x:c r="X105" s="289" t="n"/>
      <x:c r="Y105" s="289" t="n"/>
      <x:c r="Z105" s="289" t="n"/>
    </x:row>
    <x:row r="106">
      <x:c r="A106" s="113" t="n"/>
      <x:c r="B106" s="113" t="n"/>
      <x:c r="C106" s="113" t="n"/>
      <x:c r="D106" s="113" t="n"/>
      <x:c r="E106" s="289" t="n"/>
      <x:c r="F106" s="289" t="n"/>
      <x:c r="G106" s="289" t="n"/>
      <x:c r="H106" s="289" t="n"/>
      <x:c r="I106" s="289" t="n"/>
      <x:c r="J106" s="289" t="n"/>
      <x:c r="K106" s="289" t="n"/>
      <x:c r="L106" s="289" t="n"/>
      <x:c r="M106" s="289" t="n"/>
      <x:c r="N106" s="289" t="n"/>
      <x:c r="O106" s="289" t="n"/>
      <x:c r="P106" s="289" t="n"/>
      <x:c r="Q106" s="289" t="n"/>
      <x:c r="R106" s="289" t="n"/>
      <x:c r="S106" s="289" t="n"/>
      <x:c r="T106" s="289" t="n"/>
      <x:c r="U106" s="289" t="n"/>
      <x:c r="V106" s="289" t="n"/>
      <x:c r="W106" s="289" t="n"/>
      <x:c r="X106" s="289" t="n"/>
      <x:c r="Y106" s="289" t="n"/>
      <x:c r="Z106" s="289" t="n"/>
    </x:row>
    <x:row r="107">
      <x:c r="A107" s="113" t="n"/>
      <x:c r="B107" s="113" t="n"/>
      <x:c r="C107" s="113" t="n"/>
      <x:c r="D107" s="113" t="n"/>
      <x:c r="E107" s="289" t="n"/>
      <x:c r="F107" s="289" t="n"/>
      <x:c r="G107" s="289" t="n"/>
      <x:c r="H107" s="289" t="n"/>
      <x:c r="I107" s="289" t="n"/>
      <x:c r="J107" s="289" t="n"/>
      <x:c r="K107" s="289" t="n"/>
      <x:c r="L107" s="289" t="n"/>
      <x:c r="M107" s="289" t="n"/>
      <x:c r="N107" s="289" t="n"/>
      <x:c r="O107" s="289" t="n"/>
      <x:c r="P107" s="289" t="n"/>
      <x:c r="Q107" s="289" t="n"/>
      <x:c r="R107" s="289" t="n"/>
      <x:c r="S107" s="289" t="n"/>
      <x:c r="T107" s="289" t="n"/>
      <x:c r="U107" s="289" t="n"/>
      <x:c r="V107" s="289" t="n"/>
      <x:c r="W107" s="289" t="n"/>
      <x:c r="X107" s="289" t="n"/>
      <x:c r="Y107" s="289" t="n"/>
      <x:c r="Z107" s="289" t="n"/>
    </x:row>
    <x:row r="108">
      <x:c r="A108" s="113" t="n"/>
      <x:c r="B108" s="113" t="n"/>
      <x:c r="C108" s="113" t="n"/>
      <x:c r="D108" s="113" t="n"/>
      <x:c r="E108" s="289" t="n"/>
      <x:c r="F108" s="289" t="n"/>
      <x:c r="G108" s="289" t="n"/>
      <x:c r="H108" s="289" t="n"/>
      <x:c r="I108" s="289" t="n"/>
      <x:c r="J108" s="289" t="n"/>
      <x:c r="K108" s="289" t="n"/>
      <x:c r="L108" s="289" t="n"/>
      <x:c r="M108" s="289" t="n"/>
      <x:c r="N108" s="289" t="n"/>
      <x:c r="O108" s="289" t="n"/>
      <x:c r="P108" s="289" t="n"/>
      <x:c r="Q108" s="289" t="n"/>
      <x:c r="R108" s="289" t="n"/>
      <x:c r="S108" s="289" t="n"/>
      <x:c r="T108" s="289" t="n"/>
      <x:c r="U108" s="289" t="n"/>
      <x:c r="V108" s="289" t="n"/>
      <x:c r="W108" s="289" t="n"/>
      <x:c r="X108" s="289" t="n"/>
      <x:c r="Y108" s="289" t="n"/>
      <x:c r="Z108" s="289" t="n"/>
    </x:row>
    <x:row r="109">
      <x:c r="A109" s="113" t="n"/>
      <x:c r="B109" s="113" t="n"/>
      <x:c r="C109" s="113" t="n"/>
      <x:c r="D109" s="113" t="n"/>
      <x:c r="E109" s="289" t="n"/>
      <x:c r="F109" s="289" t="n"/>
      <x:c r="G109" s="289" t="n"/>
      <x:c r="H109" s="289" t="n"/>
      <x:c r="I109" s="289" t="n"/>
      <x:c r="J109" s="289" t="n"/>
      <x:c r="K109" s="289" t="n"/>
      <x:c r="L109" s="289" t="n"/>
      <x:c r="M109" s="289" t="n"/>
      <x:c r="N109" s="289" t="n"/>
      <x:c r="O109" s="289" t="n"/>
      <x:c r="P109" s="289" t="n"/>
      <x:c r="Q109" s="289" t="n"/>
      <x:c r="R109" s="289" t="n"/>
      <x:c r="S109" s="289" t="n"/>
      <x:c r="T109" s="289" t="n"/>
      <x:c r="U109" s="289" t="n"/>
      <x:c r="V109" s="289" t="n"/>
      <x:c r="W109" s="289" t="n"/>
      <x:c r="X109" s="289" t="n"/>
      <x:c r="Y109" s="289" t="n"/>
      <x:c r="Z109" s="289" t="n"/>
    </x:row>
    <x:row r="110">
      <x:c r="A110" s="113" t="n"/>
      <x:c r="B110" s="113" t="n"/>
      <x:c r="C110" s="113" t="n"/>
      <x:c r="D110" s="113" t="n"/>
      <x:c r="E110" s="289" t="n"/>
      <x:c r="F110" s="289" t="n"/>
      <x:c r="G110" s="289" t="n"/>
      <x:c r="H110" s="289" t="n"/>
      <x:c r="I110" s="289" t="n"/>
      <x:c r="J110" s="289" t="n"/>
      <x:c r="K110" s="289" t="n"/>
      <x:c r="L110" s="289" t="n"/>
      <x:c r="M110" s="289" t="n"/>
      <x:c r="N110" s="289" t="n"/>
      <x:c r="O110" s="289" t="n"/>
      <x:c r="P110" s="289" t="n"/>
      <x:c r="Q110" s="289" t="n"/>
      <x:c r="R110" s="289" t="n"/>
      <x:c r="S110" s="289" t="n"/>
      <x:c r="T110" s="289" t="n"/>
      <x:c r="U110" s="289" t="n"/>
      <x:c r="V110" s="289" t="n"/>
      <x:c r="W110" s="289" t="n"/>
      <x:c r="X110" s="289" t="n"/>
      <x:c r="Y110" s="289" t="n"/>
      <x:c r="Z110" s="289" t="n"/>
    </x:row>
    <x:row r="111">
      <x:c r="A111" s="113" t="n"/>
      <x:c r="B111" s="113" t="n"/>
      <x:c r="C111" s="113" t="n"/>
      <x:c r="D111" s="113" t="n"/>
      <x:c r="E111" s="289" t="n"/>
      <x:c r="F111" s="289" t="n"/>
      <x:c r="G111" s="289" t="n"/>
      <x:c r="H111" s="289" t="n"/>
      <x:c r="I111" s="289" t="n"/>
      <x:c r="J111" s="289" t="n"/>
      <x:c r="K111" s="289" t="n"/>
      <x:c r="L111" s="289" t="n"/>
      <x:c r="M111" s="289" t="n"/>
      <x:c r="N111" s="289" t="n"/>
      <x:c r="O111" s="289" t="n"/>
      <x:c r="P111" s="289" t="n"/>
      <x:c r="Q111" s="289" t="n"/>
      <x:c r="R111" s="289" t="n"/>
      <x:c r="S111" s="289" t="n"/>
      <x:c r="T111" s="289" t="n"/>
      <x:c r="U111" s="289" t="n"/>
      <x:c r="V111" s="289" t="n"/>
      <x:c r="W111" s="289" t="n"/>
      <x:c r="X111" s="289" t="n"/>
      <x:c r="Y111" s="289" t="n"/>
      <x:c r="Z111" s="289" t="n"/>
    </x:row>
    <x:row r="112">
      <x:c r="A112" s="113" t="n"/>
      <x:c r="B112" s="113" t="n"/>
      <x:c r="C112" s="113" t="n"/>
      <x:c r="D112" s="113" t="n"/>
      <x:c r="E112" s="289" t="n"/>
      <x:c r="F112" s="289" t="n"/>
      <x:c r="G112" s="289" t="n"/>
      <x:c r="H112" s="289" t="n"/>
      <x:c r="I112" s="289" t="n"/>
      <x:c r="J112" s="289" t="n"/>
      <x:c r="K112" s="289" t="n"/>
      <x:c r="L112" s="289" t="n"/>
      <x:c r="M112" s="289" t="n"/>
      <x:c r="N112" s="289" t="n"/>
      <x:c r="O112" s="289" t="n"/>
      <x:c r="P112" s="289" t="n"/>
      <x:c r="Q112" s="289" t="n"/>
      <x:c r="R112" s="289" t="n"/>
      <x:c r="S112" s="289" t="n"/>
      <x:c r="T112" s="289" t="n"/>
      <x:c r="U112" s="289" t="n"/>
      <x:c r="V112" s="289" t="n"/>
      <x:c r="W112" s="289" t="n"/>
      <x:c r="X112" s="289" t="n"/>
      <x:c r="Y112" s="289" t="n"/>
      <x:c r="Z112" s="289" t="n"/>
    </x:row>
    <x:row r="113">
      <x:c r="A113" s="113" t="n"/>
      <x:c r="B113" s="113" t="n"/>
      <x:c r="C113" s="113" t="n"/>
      <x:c r="D113" s="113" t="n"/>
      <x:c r="E113" s="289" t="n"/>
      <x:c r="F113" s="289" t="n"/>
      <x:c r="G113" s="289" t="n"/>
      <x:c r="H113" s="289" t="n"/>
      <x:c r="I113" s="289" t="n"/>
      <x:c r="J113" s="289" t="n"/>
      <x:c r="K113" s="289" t="n"/>
      <x:c r="L113" s="289" t="n"/>
      <x:c r="M113" s="289" t="n"/>
      <x:c r="N113" s="289" t="n"/>
      <x:c r="O113" s="289" t="n"/>
      <x:c r="P113" s="289" t="n"/>
      <x:c r="Q113" s="289" t="n"/>
      <x:c r="R113" s="289" t="n"/>
      <x:c r="S113" s="289" t="n"/>
      <x:c r="T113" s="289" t="n"/>
      <x:c r="U113" s="289" t="n"/>
      <x:c r="V113" s="289" t="n"/>
      <x:c r="W113" s="289" t="n"/>
      <x:c r="X113" s="289" t="n"/>
      <x:c r="Y113" s="289" t="n"/>
      <x:c r="Z113" s="289" t="n"/>
    </x:row>
    <x:row r="114">
      <x:c r="A114" s="113" t="n"/>
      <x:c r="B114" s="113" t="n"/>
      <x:c r="C114" s="113" t="n"/>
      <x:c r="D114" s="113" t="n"/>
      <x:c r="E114" s="289" t="n"/>
      <x:c r="F114" s="289" t="n"/>
      <x:c r="G114" s="289" t="n"/>
      <x:c r="H114" s="289" t="n"/>
      <x:c r="I114" s="289" t="n"/>
      <x:c r="J114" s="289" t="n"/>
      <x:c r="K114" s="289" t="n"/>
      <x:c r="L114" s="289" t="n"/>
      <x:c r="M114" s="289" t="n"/>
      <x:c r="N114" s="289" t="n"/>
      <x:c r="O114" s="289" t="n"/>
      <x:c r="P114" s="289" t="n"/>
      <x:c r="Q114" s="289" t="n"/>
      <x:c r="R114" s="289" t="n"/>
      <x:c r="S114" s="289" t="n"/>
      <x:c r="T114" s="289" t="n"/>
      <x:c r="U114" s="289" t="n"/>
      <x:c r="V114" s="289" t="n"/>
      <x:c r="W114" s="289" t="n"/>
      <x:c r="X114" s="289" t="n"/>
      <x:c r="Y114" s="289" t="n"/>
      <x:c r="Z114" s="289" t="n"/>
    </x:row>
    <x:row r="115">
      <x:c r="A115" s="113" t="n"/>
      <x:c r="B115" s="113" t="n"/>
      <x:c r="C115" s="113" t="n"/>
      <x:c r="D115" s="113" t="n"/>
      <x:c r="E115" s="289" t="n"/>
      <x:c r="F115" s="289" t="n"/>
      <x:c r="G115" s="289" t="n"/>
      <x:c r="H115" s="289" t="n"/>
      <x:c r="I115" s="289" t="n"/>
      <x:c r="J115" s="289" t="n"/>
      <x:c r="K115" s="289" t="n"/>
      <x:c r="L115" s="289" t="n"/>
      <x:c r="M115" s="289" t="n"/>
      <x:c r="N115" s="289" t="n"/>
      <x:c r="O115" s="289" t="n"/>
      <x:c r="P115" s="289" t="n"/>
      <x:c r="Q115" s="289" t="n"/>
      <x:c r="R115" s="289" t="n"/>
      <x:c r="S115" s="289" t="n"/>
      <x:c r="T115" s="289" t="n"/>
      <x:c r="U115" s="289" t="n"/>
      <x:c r="V115" s="289" t="n"/>
      <x:c r="W115" s="289" t="n"/>
      <x:c r="X115" s="289" t="n"/>
      <x:c r="Y115" s="289" t="n"/>
      <x:c r="Z115" s="289" t="n"/>
    </x:row>
    <x:row r="116">
      <x:c r="A116" s="113" t="n"/>
      <x:c r="B116" s="113" t="n"/>
      <x:c r="C116" s="113" t="n"/>
      <x:c r="D116" s="113" t="n"/>
      <x:c r="E116" s="289" t="n"/>
      <x:c r="F116" s="289" t="n"/>
      <x:c r="G116" s="289" t="n"/>
      <x:c r="H116" s="289" t="n"/>
      <x:c r="I116" s="289" t="n"/>
      <x:c r="J116" s="289" t="n"/>
      <x:c r="K116" s="289" t="n"/>
      <x:c r="L116" s="289" t="n"/>
      <x:c r="M116" s="289" t="n"/>
      <x:c r="N116" s="289" t="n"/>
      <x:c r="O116" s="289" t="n"/>
      <x:c r="P116" s="289" t="n"/>
      <x:c r="Q116" s="289" t="n"/>
      <x:c r="R116" s="289" t="n"/>
      <x:c r="S116" s="289" t="n"/>
      <x:c r="T116" s="289" t="n"/>
      <x:c r="U116" s="289" t="n"/>
      <x:c r="V116" s="289" t="n"/>
      <x:c r="W116" s="289" t="n"/>
      <x:c r="X116" s="289" t="n"/>
      <x:c r="Y116" s="289" t="n"/>
      <x:c r="Z116" s="289" t="n"/>
    </x:row>
    <x:row r="117">
      <x:c r="A117" s="113" t="n"/>
      <x:c r="B117" s="113" t="n"/>
      <x:c r="C117" s="113" t="n"/>
      <x:c r="D117" s="113" t="n"/>
      <x:c r="E117" s="289" t="n"/>
      <x:c r="F117" s="289" t="n"/>
      <x:c r="G117" s="289" t="n"/>
      <x:c r="H117" s="289" t="n"/>
      <x:c r="I117" s="289" t="n"/>
      <x:c r="J117" s="289" t="n"/>
      <x:c r="K117" s="289" t="n"/>
      <x:c r="L117" s="289" t="n"/>
      <x:c r="M117" s="289" t="n"/>
      <x:c r="N117" s="289" t="n"/>
      <x:c r="O117" s="289" t="n"/>
      <x:c r="P117" s="289" t="n"/>
      <x:c r="Q117" s="289" t="n"/>
      <x:c r="R117" s="289" t="n"/>
      <x:c r="S117" s="289" t="n"/>
      <x:c r="T117" s="289" t="n"/>
      <x:c r="U117" s="289" t="n"/>
      <x:c r="V117" s="289" t="n"/>
      <x:c r="W117" s="289" t="n"/>
      <x:c r="X117" s="289" t="n"/>
      <x:c r="Y117" s="289" t="n"/>
      <x:c r="Z117" s="289" t="n"/>
    </x:row>
    <x:row r="118">
      <x:c r="A118" s="113" t="n"/>
      <x:c r="B118" s="113" t="n"/>
      <x:c r="C118" s="113" t="n"/>
      <x:c r="D118" s="113" t="n"/>
      <x:c r="E118" s="289" t="n"/>
      <x:c r="F118" s="289" t="n"/>
      <x:c r="G118" s="289" t="n"/>
      <x:c r="H118" s="289" t="n"/>
      <x:c r="I118" s="289" t="n"/>
      <x:c r="J118" s="289" t="n"/>
      <x:c r="K118" s="289" t="n"/>
      <x:c r="L118" s="289" t="n"/>
      <x:c r="M118" s="289" t="n"/>
      <x:c r="N118" s="289" t="n"/>
      <x:c r="O118" s="289" t="n"/>
      <x:c r="P118" s="289" t="n"/>
      <x:c r="Q118" s="289" t="n"/>
      <x:c r="R118" s="289" t="n"/>
      <x:c r="S118" s="289" t="n"/>
      <x:c r="T118" s="289" t="n"/>
      <x:c r="U118" s="289" t="n"/>
      <x:c r="V118" s="289" t="n"/>
      <x:c r="W118" s="289" t="n"/>
      <x:c r="X118" s="289" t="n"/>
      <x:c r="Y118" s="289" t="n"/>
      <x:c r="Z118" s="289" t="n"/>
    </x:row>
    <x:row r="119">
      <x:c r="A119" s="113" t="n"/>
      <x:c r="B119" s="113" t="n"/>
      <x:c r="C119" s="113" t="n"/>
      <x:c r="D119" s="113" t="n"/>
      <x:c r="E119" s="289" t="n"/>
      <x:c r="F119" s="289" t="n"/>
      <x:c r="G119" s="289" t="n"/>
      <x:c r="H119" s="289" t="n"/>
      <x:c r="I119" s="289" t="n"/>
      <x:c r="J119" s="289" t="n"/>
      <x:c r="K119" s="289" t="n"/>
      <x:c r="L119" s="289" t="n"/>
      <x:c r="M119" s="289" t="n"/>
      <x:c r="N119" s="289" t="n"/>
      <x:c r="O119" s="289" t="n"/>
      <x:c r="P119" s="289" t="n"/>
      <x:c r="Q119" s="289" t="n"/>
      <x:c r="R119" s="289" t="n"/>
      <x:c r="S119" s="289" t="n"/>
      <x:c r="T119" s="289" t="n"/>
      <x:c r="U119" s="289" t="n"/>
      <x:c r="V119" s="289" t="n"/>
      <x:c r="W119" s="289" t="n"/>
      <x:c r="X119" s="289" t="n"/>
      <x:c r="Y119" s="289" t="n"/>
      <x:c r="Z119" s="289" t="n"/>
    </x:row>
    <x:row r="120">
      <x:c r="A120" s="113" t="n"/>
      <x:c r="B120" s="113" t="n"/>
      <x:c r="C120" s="113" t="n"/>
      <x:c r="D120" s="113" t="n"/>
      <x:c r="E120" s="289" t="n"/>
      <x:c r="F120" s="289" t="n"/>
      <x:c r="G120" s="289" t="n"/>
      <x:c r="H120" s="289" t="n"/>
      <x:c r="I120" s="289" t="n"/>
      <x:c r="J120" s="289" t="n"/>
      <x:c r="K120" s="289" t="n"/>
      <x:c r="L120" s="289" t="n"/>
      <x:c r="M120" s="289" t="n"/>
      <x:c r="N120" s="289" t="n"/>
      <x:c r="O120" s="289" t="n"/>
      <x:c r="P120" s="289" t="n"/>
      <x:c r="Q120" s="289" t="n"/>
      <x:c r="R120" s="289" t="n"/>
      <x:c r="S120" s="289" t="n"/>
      <x:c r="T120" s="289" t="n"/>
      <x:c r="U120" s="289" t="n"/>
      <x:c r="V120" s="289" t="n"/>
      <x:c r="W120" s="289" t="n"/>
      <x:c r="X120" s="289" t="n"/>
      <x:c r="Y120" s="289" t="n"/>
      <x:c r="Z120" s="289" t="n"/>
    </x:row>
    <x:row r="121">
      <x:c r="A121" s="113" t="n"/>
      <x:c r="B121" s="113" t="n"/>
      <x:c r="C121" s="113" t="n"/>
      <x:c r="D121" s="113" t="n"/>
      <x:c r="E121" s="289" t="n"/>
      <x:c r="F121" s="289" t="n"/>
      <x:c r="G121" s="289" t="n"/>
      <x:c r="H121" s="289" t="n"/>
      <x:c r="I121" s="289" t="n"/>
      <x:c r="J121" s="289" t="n"/>
      <x:c r="K121" s="289" t="n"/>
      <x:c r="L121" s="289" t="n"/>
      <x:c r="M121" s="289" t="n"/>
      <x:c r="N121" s="289" t="n"/>
      <x:c r="O121" s="289" t="n"/>
      <x:c r="P121" s="289" t="n"/>
      <x:c r="Q121" s="289" t="n"/>
      <x:c r="R121" s="289" t="n"/>
      <x:c r="S121" s="289" t="n"/>
      <x:c r="T121" s="289" t="n"/>
      <x:c r="U121" s="289" t="n"/>
      <x:c r="V121" s="289" t="n"/>
      <x:c r="W121" s="289" t="n"/>
      <x:c r="X121" s="289" t="n"/>
      <x:c r="Y121" s="289" t="n"/>
      <x:c r="Z121" s="289" t="n"/>
    </x:row>
    <x:row r="122">
      <x:c r="A122" s="113" t="n"/>
      <x:c r="B122" s="113" t="n"/>
      <x:c r="C122" s="113" t="n"/>
      <x:c r="D122" s="113" t="n"/>
      <x:c r="E122" s="289" t="n"/>
      <x:c r="F122" s="289" t="n"/>
      <x:c r="G122" s="289" t="n"/>
      <x:c r="H122" s="289" t="n"/>
      <x:c r="I122" s="289" t="n"/>
      <x:c r="J122" s="289" t="n"/>
      <x:c r="K122" s="289" t="n"/>
      <x:c r="L122" s="289" t="n"/>
      <x:c r="M122" s="289" t="n"/>
      <x:c r="N122" s="289" t="n"/>
      <x:c r="O122" s="289" t="n"/>
      <x:c r="P122" s="289" t="n"/>
      <x:c r="Q122" s="289" t="n"/>
      <x:c r="R122" s="289" t="n"/>
      <x:c r="S122" s="289" t="n"/>
      <x:c r="T122" s="289" t="n"/>
      <x:c r="U122" s="289" t="n"/>
      <x:c r="V122" s="289" t="n"/>
      <x:c r="W122" s="289" t="n"/>
      <x:c r="X122" s="289" t="n"/>
      <x:c r="Y122" s="289" t="n"/>
      <x:c r="Z122" s="289" t="n"/>
    </x:row>
    <x:row r="123">
      <x:c r="A123" s="113" t="n"/>
      <x:c r="B123" s="113" t="n"/>
      <x:c r="C123" s="113" t="n"/>
      <x:c r="D123" s="113" t="n"/>
      <x:c r="E123" s="289" t="n"/>
      <x:c r="F123" s="289" t="n"/>
      <x:c r="G123" s="289" t="n"/>
      <x:c r="H123" s="289" t="n"/>
      <x:c r="I123" s="289" t="n"/>
      <x:c r="J123" s="289" t="n"/>
      <x:c r="K123" s="289" t="n"/>
      <x:c r="L123" s="289" t="n"/>
      <x:c r="M123" s="289" t="n"/>
      <x:c r="N123" s="289" t="n"/>
      <x:c r="O123" s="289" t="n"/>
      <x:c r="P123" s="289" t="n"/>
      <x:c r="Q123" s="289" t="n"/>
      <x:c r="R123" s="289" t="n"/>
      <x:c r="S123" s="289" t="n"/>
      <x:c r="T123" s="289" t="n"/>
      <x:c r="U123" s="289" t="n"/>
      <x:c r="V123" s="289" t="n"/>
      <x:c r="W123" s="289" t="n"/>
      <x:c r="X123" s="289" t="n"/>
      <x:c r="Y123" s="289" t="n"/>
      <x:c r="Z123" s="289" t="n"/>
    </x:row>
    <x:row r="124">
      <x:c r="A124" s="113" t="n"/>
      <x:c r="B124" s="113" t="n"/>
      <x:c r="C124" s="113" t="n"/>
      <x:c r="D124" s="113" t="n"/>
      <x:c r="E124" s="289" t="n"/>
      <x:c r="F124" s="289" t="n"/>
      <x:c r="G124" s="289" t="n"/>
      <x:c r="H124" s="289" t="n"/>
      <x:c r="I124" s="289" t="n"/>
      <x:c r="J124" s="289" t="n"/>
      <x:c r="K124" s="289" t="n"/>
      <x:c r="L124" s="289" t="n"/>
      <x:c r="M124" s="289" t="n"/>
      <x:c r="N124" s="289" t="n"/>
      <x:c r="O124" s="289" t="n"/>
      <x:c r="P124" s="289" t="n"/>
      <x:c r="Q124" s="289" t="n"/>
      <x:c r="R124" s="289" t="n"/>
      <x:c r="S124" s="289" t="n"/>
      <x:c r="T124" s="289" t="n"/>
      <x:c r="U124" s="289" t="n"/>
      <x:c r="V124" s="289" t="n"/>
      <x:c r="W124" s="289" t="n"/>
      <x:c r="X124" s="289" t="n"/>
      <x:c r="Y124" s="289" t="n"/>
      <x:c r="Z124" s="289" t="n"/>
    </x:row>
    <x:row r="125">
      <x:c r="A125" s="113" t="n"/>
      <x:c r="B125" s="113" t="n"/>
      <x:c r="C125" s="113" t="n"/>
      <x:c r="D125" s="113" t="n"/>
      <x:c r="E125" s="289" t="n"/>
      <x:c r="F125" s="289" t="n"/>
      <x:c r="G125" s="289" t="n"/>
      <x:c r="H125" s="289" t="n"/>
      <x:c r="I125" s="289" t="n"/>
      <x:c r="J125" s="289" t="n"/>
      <x:c r="K125" s="289" t="n"/>
      <x:c r="L125" s="289" t="n"/>
      <x:c r="M125" s="289" t="n"/>
      <x:c r="N125" s="289" t="n"/>
      <x:c r="O125" s="289" t="n"/>
      <x:c r="P125" s="289" t="n"/>
      <x:c r="Q125" s="289" t="n"/>
      <x:c r="R125" s="289" t="n"/>
      <x:c r="S125" s="289" t="n"/>
      <x:c r="T125" s="289" t="n"/>
      <x:c r="U125" s="289" t="n"/>
      <x:c r="V125" s="289" t="n"/>
      <x:c r="W125" s="289" t="n"/>
      <x:c r="X125" s="289" t="n"/>
      <x:c r="Y125" s="289" t="n"/>
      <x:c r="Z125" s="289" t="n"/>
    </x:row>
    <x:row r="126">
      <x:c r="A126" s="113" t="n"/>
      <x:c r="B126" s="113" t="n"/>
      <x:c r="C126" s="113" t="n"/>
      <x:c r="D126" s="113" t="n"/>
      <x:c r="E126" s="289" t="n"/>
      <x:c r="F126" s="289" t="n"/>
      <x:c r="G126" s="289" t="n"/>
      <x:c r="H126" s="289" t="n"/>
      <x:c r="I126" s="289" t="n"/>
      <x:c r="J126" s="289" t="n"/>
      <x:c r="K126" s="289" t="n"/>
      <x:c r="L126" s="289" t="n"/>
      <x:c r="M126" s="289" t="n"/>
      <x:c r="N126" s="289" t="n"/>
      <x:c r="O126" s="289" t="n"/>
      <x:c r="P126" s="289" t="n"/>
      <x:c r="Q126" s="289" t="n"/>
      <x:c r="R126" s="289" t="n"/>
      <x:c r="S126" s="289" t="n"/>
      <x:c r="T126" s="289" t="n"/>
      <x:c r="U126" s="289" t="n"/>
      <x:c r="V126" s="289" t="n"/>
      <x:c r="W126" s="289" t="n"/>
      <x:c r="X126" s="289" t="n"/>
      <x:c r="Y126" s="289" t="n"/>
      <x:c r="Z126" s="289" t="n"/>
    </x:row>
    <x:row r="127">
      <x:c r="A127" s="113" t="n"/>
      <x:c r="B127" s="113" t="n"/>
      <x:c r="C127" s="113" t="n"/>
      <x:c r="D127" s="113" t="n"/>
      <x:c r="E127" s="289" t="n"/>
      <x:c r="F127" s="289" t="n"/>
      <x:c r="G127" s="289" t="n"/>
      <x:c r="H127" s="289" t="n"/>
      <x:c r="I127" s="289" t="n"/>
      <x:c r="J127" s="289" t="n"/>
      <x:c r="K127" s="289" t="n"/>
      <x:c r="L127" s="289" t="n"/>
      <x:c r="M127" s="289" t="n"/>
      <x:c r="N127" s="289" t="n"/>
      <x:c r="O127" s="289" t="n"/>
      <x:c r="P127" s="289" t="n"/>
      <x:c r="Q127" s="289" t="n"/>
      <x:c r="R127" s="289" t="n"/>
      <x:c r="S127" s="289" t="n"/>
      <x:c r="T127" s="289" t="n"/>
      <x:c r="U127" s="289" t="n"/>
      <x:c r="V127" s="289" t="n"/>
      <x:c r="W127" s="289" t="n"/>
      <x:c r="X127" s="289" t="n"/>
      <x:c r="Y127" s="289" t="n"/>
      <x:c r="Z127" s="289" t="n"/>
    </x:row>
    <x:row r="128">
      <x:c r="A128" s="113" t="n"/>
      <x:c r="B128" s="113" t="n"/>
      <x:c r="C128" s="113" t="n"/>
      <x:c r="D128" s="113" t="n"/>
      <x:c r="E128" s="289" t="n"/>
      <x:c r="F128" s="289" t="n"/>
      <x:c r="G128" s="289" t="n"/>
      <x:c r="H128" s="289" t="n"/>
      <x:c r="I128" s="289" t="n"/>
      <x:c r="J128" s="289" t="n"/>
      <x:c r="K128" s="289" t="n"/>
      <x:c r="L128" s="289" t="n"/>
      <x:c r="M128" s="289" t="n"/>
      <x:c r="N128" s="289" t="n"/>
      <x:c r="O128" s="289" t="n"/>
      <x:c r="P128" s="289" t="n"/>
      <x:c r="Q128" s="289" t="n"/>
      <x:c r="R128" s="289" t="n"/>
      <x:c r="S128" s="289" t="n"/>
      <x:c r="T128" s="289" t="n"/>
      <x:c r="U128" s="289" t="n"/>
      <x:c r="V128" s="289" t="n"/>
      <x:c r="W128" s="289" t="n"/>
      <x:c r="X128" s="289" t="n"/>
      <x:c r="Y128" s="289" t="n"/>
      <x:c r="Z128" s="289" t="n"/>
    </x:row>
    <x:row r="129">
      <x:c r="A129" s="113" t="n"/>
      <x:c r="B129" s="113" t="n"/>
      <x:c r="C129" s="113" t="n"/>
      <x:c r="D129" s="113" t="n"/>
      <x:c r="E129" s="289" t="n"/>
      <x:c r="F129" s="289" t="n"/>
      <x:c r="G129" s="289" t="n"/>
      <x:c r="H129" s="289" t="n"/>
      <x:c r="I129" s="289" t="n"/>
      <x:c r="J129" s="289" t="n"/>
      <x:c r="K129" s="289" t="n"/>
      <x:c r="L129" s="289" t="n"/>
      <x:c r="M129" s="289" t="n"/>
      <x:c r="N129" s="289" t="n"/>
      <x:c r="O129" s="289" t="n"/>
      <x:c r="P129" s="289" t="n"/>
      <x:c r="Q129" s="289" t="n"/>
      <x:c r="R129" s="289" t="n"/>
      <x:c r="S129" s="289" t="n"/>
      <x:c r="T129" s="289" t="n"/>
      <x:c r="U129" s="289" t="n"/>
      <x:c r="V129" s="289" t="n"/>
      <x:c r="W129" s="289" t="n"/>
      <x:c r="X129" s="289" t="n"/>
      <x:c r="Y129" s="289" t="n"/>
      <x:c r="Z129" s="289" t="n"/>
    </x:row>
    <x:row r="130">
      <x:c r="A130" s="113" t="n"/>
      <x:c r="B130" s="113" t="n"/>
      <x:c r="C130" s="113" t="n"/>
      <x:c r="D130" s="113" t="n"/>
      <x:c r="E130" s="289" t="n"/>
      <x:c r="F130" s="289" t="n"/>
      <x:c r="G130" s="289" t="n"/>
      <x:c r="H130" s="289" t="n"/>
      <x:c r="I130" s="289" t="n"/>
      <x:c r="J130" s="289" t="n"/>
      <x:c r="K130" s="289" t="n"/>
      <x:c r="L130" s="289" t="n"/>
      <x:c r="M130" s="289" t="n"/>
      <x:c r="N130" s="289" t="n"/>
      <x:c r="O130" s="289" t="n"/>
      <x:c r="P130" s="289" t="n"/>
      <x:c r="Q130" s="289" t="n"/>
      <x:c r="R130" s="289" t="n"/>
      <x:c r="S130" s="289" t="n"/>
      <x:c r="T130" s="289" t="n"/>
      <x:c r="U130" s="289" t="n"/>
      <x:c r="V130" s="289" t="n"/>
      <x:c r="W130" s="289" t="n"/>
      <x:c r="X130" s="289" t="n"/>
      <x:c r="Y130" s="289" t="n"/>
      <x:c r="Z130" s="289" t="n"/>
    </x:row>
    <x:row r="131">
      <x:c r="A131" s="113" t="n"/>
      <x:c r="B131" s="113" t="n"/>
      <x:c r="C131" s="113" t="n"/>
      <x:c r="D131" s="113" t="n"/>
      <x:c r="E131" s="289" t="n"/>
      <x:c r="F131" s="289" t="n"/>
      <x:c r="G131" s="289" t="n"/>
      <x:c r="H131" s="289" t="n"/>
      <x:c r="I131" s="289" t="n"/>
      <x:c r="J131" s="289" t="n"/>
      <x:c r="K131" s="289" t="n"/>
      <x:c r="L131" s="289" t="n"/>
      <x:c r="M131" s="289" t="n"/>
      <x:c r="N131" s="289" t="n"/>
      <x:c r="O131" s="289" t="n"/>
      <x:c r="P131" s="289" t="n"/>
      <x:c r="Q131" s="289" t="n"/>
      <x:c r="R131" s="289" t="n"/>
      <x:c r="S131" s="289" t="n"/>
      <x:c r="T131" s="289" t="n"/>
      <x:c r="U131" s="289" t="n"/>
      <x:c r="V131" s="289" t="n"/>
      <x:c r="W131" s="289" t="n"/>
      <x:c r="X131" s="289" t="n"/>
      <x:c r="Y131" s="289" t="n"/>
      <x:c r="Z131" s="289" t="n"/>
    </x:row>
    <x:row r="132">
      <x:c r="A132" s="113" t="n"/>
      <x:c r="B132" s="113" t="n"/>
      <x:c r="C132" s="113" t="n"/>
      <x:c r="D132" s="113" t="n"/>
      <x:c r="E132" s="289" t="n"/>
      <x:c r="F132" s="289" t="n"/>
      <x:c r="G132" s="289" t="n"/>
      <x:c r="H132" s="289" t="n"/>
      <x:c r="I132" s="289" t="n"/>
      <x:c r="J132" s="289" t="n"/>
      <x:c r="K132" s="289" t="n"/>
      <x:c r="L132" s="289" t="n"/>
      <x:c r="M132" s="289" t="n"/>
      <x:c r="N132" s="289" t="n"/>
      <x:c r="O132" s="289" t="n"/>
      <x:c r="P132" s="289" t="n"/>
      <x:c r="Q132" s="289" t="n"/>
      <x:c r="R132" s="289" t="n"/>
      <x:c r="S132" s="289" t="n"/>
      <x:c r="T132" s="289" t="n"/>
      <x:c r="U132" s="289" t="n"/>
      <x:c r="V132" s="289" t="n"/>
      <x:c r="W132" s="289" t="n"/>
      <x:c r="X132" s="289" t="n"/>
      <x:c r="Y132" s="289" t="n"/>
      <x:c r="Z132" s="289" t="n"/>
    </x:row>
    <x:row r="133">
      <x:c r="A133" s="113" t="n"/>
      <x:c r="B133" s="113" t="n"/>
      <x:c r="C133" s="113" t="n"/>
      <x:c r="D133" s="113" t="n"/>
      <x:c r="E133" s="289" t="n"/>
      <x:c r="F133" s="289" t="n"/>
      <x:c r="G133" s="289" t="n"/>
      <x:c r="H133" s="289" t="n"/>
      <x:c r="I133" s="289" t="n"/>
      <x:c r="J133" s="289" t="n"/>
      <x:c r="K133" s="289" t="n"/>
      <x:c r="L133" s="289" t="n"/>
      <x:c r="M133" s="289" t="n"/>
      <x:c r="N133" s="289" t="n"/>
      <x:c r="O133" s="289" t="n"/>
      <x:c r="P133" s="289" t="n"/>
      <x:c r="Q133" s="289" t="n"/>
      <x:c r="R133" s="289" t="n"/>
      <x:c r="S133" s="289" t="n"/>
      <x:c r="T133" s="289" t="n"/>
      <x:c r="U133" s="289" t="n"/>
      <x:c r="V133" s="289" t="n"/>
      <x:c r="W133" s="289" t="n"/>
      <x:c r="X133" s="289" t="n"/>
      <x:c r="Y133" s="289" t="n"/>
      <x:c r="Z133" s="289" t="n"/>
    </x:row>
    <x:row r="134">
      <x:c r="A134" s="113" t="n"/>
      <x:c r="B134" s="113" t="n"/>
      <x:c r="C134" s="113" t="n"/>
      <x:c r="D134" s="113" t="n"/>
      <x:c r="E134" s="289" t="n"/>
      <x:c r="F134" s="289" t="n"/>
      <x:c r="G134" s="289" t="n"/>
      <x:c r="H134" s="289" t="n"/>
      <x:c r="I134" s="289" t="n"/>
      <x:c r="J134" s="289" t="n"/>
      <x:c r="K134" s="289" t="n"/>
      <x:c r="L134" s="289" t="n"/>
      <x:c r="M134" s="289" t="n"/>
      <x:c r="N134" s="289" t="n"/>
      <x:c r="O134" s="289" t="n"/>
      <x:c r="P134" s="289" t="n"/>
      <x:c r="Q134" s="289" t="n"/>
      <x:c r="R134" s="289" t="n"/>
      <x:c r="S134" s="289" t="n"/>
      <x:c r="T134" s="289" t="n"/>
      <x:c r="U134" s="289" t="n"/>
      <x:c r="V134" s="289" t="n"/>
      <x:c r="W134" s="289" t="n"/>
      <x:c r="X134" s="289" t="n"/>
      <x:c r="Y134" s="289" t="n"/>
      <x:c r="Z134" s="289" t="n"/>
    </x:row>
    <x:row r="135">
      <x:c r="A135" s="113" t="n"/>
      <x:c r="B135" s="113" t="n"/>
      <x:c r="C135" s="113" t="n"/>
      <x:c r="D135" s="113" t="n"/>
      <x:c r="E135" s="289" t="n"/>
      <x:c r="F135" s="289" t="n"/>
      <x:c r="G135" s="289" t="n"/>
      <x:c r="H135" s="289" t="n"/>
      <x:c r="I135" s="289" t="n"/>
      <x:c r="J135" s="289" t="n"/>
      <x:c r="K135" s="289" t="n"/>
      <x:c r="L135" s="289" t="n"/>
      <x:c r="M135" s="289" t="n"/>
      <x:c r="N135" s="289" t="n"/>
      <x:c r="O135" s="289" t="n"/>
      <x:c r="P135" s="289" t="n"/>
      <x:c r="Q135" s="289" t="n"/>
      <x:c r="R135" s="289" t="n"/>
      <x:c r="S135" s="289" t="n"/>
      <x:c r="T135" s="289" t="n"/>
      <x:c r="U135" s="289" t="n"/>
      <x:c r="V135" s="289" t="n"/>
      <x:c r="W135" s="289" t="n"/>
      <x:c r="X135" s="289" t="n"/>
      <x:c r="Y135" s="289" t="n"/>
      <x:c r="Z135" s="289" t="n"/>
    </x:row>
    <x:row r="136">
      <x:c r="A136" s="113" t="n"/>
      <x:c r="B136" s="113" t="n"/>
      <x:c r="C136" s="113" t="n"/>
      <x:c r="D136" s="113" t="n"/>
      <x:c r="E136" s="289" t="n"/>
      <x:c r="F136" s="289" t="n"/>
      <x:c r="G136" s="289" t="n"/>
      <x:c r="H136" s="289" t="n"/>
      <x:c r="I136" s="289" t="n"/>
      <x:c r="J136" s="289" t="n"/>
      <x:c r="K136" s="289" t="n"/>
      <x:c r="L136" s="289" t="n"/>
      <x:c r="M136" s="289" t="n"/>
      <x:c r="N136" s="289" t="n"/>
      <x:c r="O136" s="289" t="n"/>
      <x:c r="P136" s="289" t="n"/>
      <x:c r="Q136" s="289" t="n"/>
      <x:c r="R136" s="289" t="n"/>
      <x:c r="S136" s="289" t="n"/>
      <x:c r="T136" s="289" t="n"/>
      <x:c r="U136" s="289" t="n"/>
      <x:c r="V136" s="289" t="n"/>
      <x:c r="W136" s="289" t="n"/>
      <x:c r="X136" s="289" t="n"/>
      <x:c r="Y136" s="289" t="n"/>
      <x:c r="Z136" s="289" t="n"/>
    </x:row>
    <x:row r="137">
      <x:c r="A137" s="113" t="n"/>
      <x:c r="B137" s="113" t="n"/>
      <x:c r="C137" s="113" t="n"/>
      <x:c r="D137" s="113" t="n"/>
      <x:c r="E137" s="289" t="n"/>
      <x:c r="F137" s="289" t="n"/>
      <x:c r="G137" s="289" t="n"/>
      <x:c r="H137" s="289" t="n"/>
      <x:c r="I137" s="289" t="n"/>
      <x:c r="J137" s="289" t="n"/>
      <x:c r="K137" s="289" t="n"/>
      <x:c r="L137" s="289" t="n"/>
      <x:c r="M137" s="289" t="n"/>
      <x:c r="N137" s="289" t="n"/>
      <x:c r="O137" s="289" t="n"/>
      <x:c r="P137" s="289" t="n"/>
      <x:c r="Q137" s="289" t="n"/>
      <x:c r="R137" s="289" t="n"/>
      <x:c r="S137" s="289" t="n"/>
      <x:c r="T137" s="289" t="n"/>
      <x:c r="U137" s="289" t="n"/>
      <x:c r="V137" s="289" t="n"/>
      <x:c r="W137" s="289" t="n"/>
      <x:c r="X137" s="289" t="n"/>
      <x:c r="Y137" s="289" t="n"/>
      <x:c r="Z137" s="289" t="n"/>
    </x:row>
    <x:row r="138">
      <x:c r="A138" s="113" t="n"/>
      <x:c r="B138" s="113" t="n"/>
      <x:c r="C138" s="113" t="n"/>
      <x:c r="D138" s="113" t="n"/>
      <x:c r="E138" s="289" t="n"/>
      <x:c r="F138" s="289" t="n"/>
      <x:c r="G138" s="289" t="n"/>
      <x:c r="H138" s="289" t="n"/>
      <x:c r="I138" s="289" t="n"/>
      <x:c r="J138" s="289" t="n"/>
      <x:c r="K138" s="289" t="n"/>
      <x:c r="L138" s="289" t="n"/>
      <x:c r="M138" s="289" t="n"/>
      <x:c r="N138" s="289" t="n"/>
      <x:c r="O138" s="289" t="n"/>
      <x:c r="P138" s="289" t="n"/>
      <x:c r="Q138" s="289" t="n"/>
      <x:c r="R138" s="289" t="n"/>
      <x:c r="S138" s="289" t="n"/>
      <x:c r="T138" s="289" t="n"/>
      <x:c r="U138" s="289" t="n"/>
      <x:c r="V138" s="289" t="n"/>
      <x:c r="W138" s="289" t="n"/>
      <x:c r="X138" s="289" t="n"/>
      <x:c r="Y138" s="289" t="n"/>
      <x:c r="Z138" s="289" t="n"/>
    </x:row>
    <x:row r="139">
      <x:c r="A139" s="113" t="n"/>
      <x:c r="B139" s="113" t="n"/>
      <x:c r="C139" s="113" t="n"/>
      <x:c r="D139" s="113" t="n"/>
      <x:c r="E139" s="289" t="n"/>
      <x:c r="F139" s="289" t="n"/>
      <x:c r="G139" s="289" t="n"/>
      <x:c r="H139" s="289" t="n"/>
      <x:c r="I139" s="289" t="n"/>
      <x:c r="J139" s="289" t="n"/>
      <x:c r="K139" s="289" t="n"/>
      <x:c r="L139" s="289" t="n"/>
      <x:c r="M139" s="289" t="n"/>
      <x:c r="N139" s="289" t="n"/>
      <x:c r="O139" s="289" t="n"/>
      <x:c r="P139" s="289" t="n"/>
      <x:c r="Q139" s="289" t="n"/>
      <x:c r="R139" s="289" t="n"/>
      <x:c r="S139" s="289" t="n"/>
      <x:c r="T139" s="289" t="n"/>
      <x:c r="U139" s="289" t="n"/>
      <x:c r="V139" s="289" t="n"/>
      <x:c r="W139" s="289" t="n"/>
      <x:c r="X139" s="289" t="n"/>
      <x:c r="Y139" s="289" t="n"/>
      <x:c r="Z139" s="289" t="n"/>
    </x:row>
    <x:row r="140">
      <x:c r="A140" s="113" t="n"/>
      <x:c r="B140" s="113" t="n"/>
      <x:c r="C140" s="113" t="n"/>
      <x:c r="D140" s="113" t="n"/>
      <x:c r="E140" s="289" t="n"/>
      <x:c r="F140" s="289" t="n"/>
      <x:c r="G140" s="289" t="n"/>
      <x:c r="H140" s="289" t="n"/>
      <x:c r="I140" s="289" t="n"/>
      <x:c r="J140" s="289" t="n"/>
      <x:c r="K140" s="289" t="n"/>
      <x:c r="L140" s="289" t="n"/>
      <x:c r="M140" s="289" t="n"/>
      <x:c r="N140" s="289" t="n"/>
      <x:c r="O140" s="289" t="n"/>
      <x:c r="P140" s="289" t="n"/>
      <x:c r="Q140" s="289" t="n"/>
      <x:c r="R140" s="289" t="n"/>
      <x:c r="S140" s="289" t="n"/>
      <x:c r="T140" s="289" t="n"/>
      <x:c r="U140" s="289" t="n"/>
      <x:c r="V140" s="289" t="n"/>
      <x:c r="W140" s="289" t="n"/>
      <x:c r="X140" s="289" t="n"/>
      <x:c r="Y140" s="289" t="n"/>
      <x:c r="Z140" s="289" t="n"/>
    </x:row>
    <x:row r="141">
      <x:c r="A141" s="113" t="n"/>
      <x:c r="B141" s="113" t="n"/>
      <x:c r="C141" s="113" t="n"/>
      <x:c r="D141" s="113" t="n"/>
      <x:c r="E141" s="289" t="n"/>
      <x:c r="F141" s="289" t="n"/>
      <x:c r="G141" s="289" t="n"/>
      <x:c r="H141" s="289" t="n"/>
      <x:c r="I141" s="289" t="n"/>
      <x:c r="J141" s="289" t="n"/>
      <x:c r="K141" s="289" t="n"/>
      <x:c r="L141" s="289" t="n"/>
      <x:c r="M141" s="289" t="n"/>
      <x:c r="N141" s="289" t="n"/>
      <x:c r="O141" s="289" t="n"/>
      <x:c r="P141" s="289" t="n"/>
      <x:c r="Q141" s="289" t="n"/>
      <x:c r="R141" s="289" t="n"/>
      <x:c r="S141" s="289" t="n"/>
      <x:c r="T141" s="289" t="n"/>
      <x:c r="U141" s="289" t="n"/>
      <x:c r="V141" s="289" t="n"/>
      <x:c r="W141" s="289" t="n"/>
      <x:c r="X141" s="289" t="n"/>
      <x:c r="Y141" s="289" t="n"/>
      <x:c r="Z141" s="289" t="n"/>
    </x:row>
    <x:row r="142">
      <x:c r="A142" s="113" t="n"/>
      <x:c r="B142" s="113" t="n"/>
      <x:c r="C142" s="113" t="n"/>
      <x:c r="D142" s="113" t="n"/>
      <x:c r="E142" s="289" t="n"/>
      <x:c r="F142" s="289" t="n"/>
      <x:c r="G142" s="289" t="n"/>
      <x:c r="H142" s="289" t="n"/>
      <x:c r="I142" s="289" t="n"/>
      <x:c r="J142" s="289" t="n"/>
      <x:c r="K142" s="289" t="n"/>
      <x:c r="L142" s="289" t="n"/>
      <x:c r="M142" s="289" t="n"/>
      <x:c r="N142" s="289" t="n"/>
      <x:c r="O142" s="289" t="n"/>
      <x:c r="P142" s="289" t="n"/>
      <x:c r="Q142" s="289" t="n"/>
      <x:c r="R142" s="289" t="n"/>
      <x:c r="S142" s="289" t="n"/>
      <x:c r="T142" s="289" t="n"/>
      <x:c r="U142" s="289" t="n"/>
      <x:c r="V142" s="289" t="n"/>
      <x:c r="W142" s="289" t="n"/>
      <x:c r="X142" s="289" t="n"/>
      <x:c r="Y142" s="289" t="n"/>
      <x:c r="Z142" s="289" t="n"/>
    </x:row>
    <x:row r="143">
      <x:c r="A143" s="113" t="n"/>
      <x:c r="B143" s="113" t="n"/>
      <x:c r="C143" s="113" t="n"/>
      <x:c r="D143" s="113" t="n"/>
      <x:c r="E143" s="289" t="n"/>
      <x:c r="F143" s="289" t="n"/>
      <x:c r="G143" s="289" t="n"/>
      <x:c r="H143" s="289" t="n"/>
      <x:c r="I143" s="289" t="n"/>
      <x:c r="J143" s="289" t="n"/>
      <x:c r="K143" s="289" t="n"/>
      <x:c r="L143" s="289" t="n"/>
      <x:c r="M143" s="289" t="n"/>
      <x:c r="N143" s="289" t="n"/>
      <x:c r="O143" s="289" t="n"/>
      <x:c r="P143" s="289" t="n"/>
      <x:c r="Q143" s="289" t="n"/>
      <x:c r="R143" s="289" t="n"/>
      <x:c r="S143" s="289" t="n"/>
      <x:c r="T143" s="289" t="n"/>
      <x:c r="U143" s="289" t="n"/>
      <x:c r="V143" s="289" t="n"/>
      <x:c r="W143" s="289" t="n"/>
      <x:c r="X143" s="289" t="n"/>
      <x:c r="Y143" s="289" t="n"/>
      <x:c r="Z143" s="289" t="n"/>
    </x:row>
    <x:row r="144">
      <x:c r="A144" s="113" t="n"/>
      <x:c r="B144" s="113" t="n"/>
      <x:c r="C144" s="113" t="n"/>
      <x:c r="D144" s="113" t="n"/>
      <x:c r="E144" s="289" t="n"/>
      <x:c r="F144" s="289" t="n"/>
      <x:c r="G144" s="289" t="n"/>
      <x:c r="H144" s="289" t="n"/>
      <x:c r="I144" s="289" t="n"/>
      <x:c r="J144" s="289" t="n"/>
      <x:c r="K144" s="289" t="n"/>
      <x:c r="L144" s="289" t="n"/>
      <x:c r="M144" s="289" t="n"/>
      <x:c r="N144" s="289" t="n"/>
      <x:c r="O144" s="289" t="n"/>
      <x:c r="P144" s="289" t="n"/>
      <x:c r="Q144" s="289" t="n"/>
      <x:c r="R144" s="289" t="n"/>
      <x:c r="S144" s="289" t="n"/>
      <x:c r="T144" s="289" t="n"/>
      <x:c r="U144" s="289" t="n"/>
      <x:c r="V144" s="289" t="n"/>
      <x:c r="W144" s="289" t="n"/>
      <x:c r="X144" s="289" t="n"/>
      <x:c r="Y144" s="289" t="n"/>
      <x:c r="Z144" s="289" t="n"/>
    </x:row>
    <x:row r="145">
      <x:c r="A145" s="113" t="n"/>
      <x:c r="B145" s="113" t="n"/>
      <x:c r="C145" s="113" t="n"/>
      <x:c r="D145" s="113" t="n"/>
      <x:c r="E145" s="289" t="n"/>
      <x:c r="F145" s="289" t="n"/>
      <x:c r="G145" s="289" t="n"/>
      <x:c r="H145" s="289" t="n"/>
      <x:c r="I145" s="289" t="n"/>
      <x:c r="J145" s="289" t="n"/>
      <x:c r="K145" s="289" t="n"/>
      <x:c r="L145" s="289" t="n"/>
      <x:c r="M145" s="289" t="n"/>
      <x:c r="N145" s="289" t="n"/>
      <x:c r="O145" s="289" t="n"/>
      <x:c r="P145" s="289" t="n"/>
      <x:c r="Q145" s="289" t="n"/>
      <x:c r="R145" s="289" t="n"/>
      <x:c r="S145" s="289" t="n"/>
      <x:c r="T145" s="289" t="n"/>
      <x:c r="U145" s="289" t="n"/>
      <x:c r="V145" s="289" t="n"/>
      <x:c r="W145" s="289" t="n"/>
      <x:c r="X145" s="289" t="n"/>
      <x:c r="Y145" s="289" t="n"/>
      <x:c r="Z145" s="289" t="n"/>
    </x:row>
    <x:row r="146">
      <x:c r="A146" s="113" t="n"/>
      <x:c r="B146" s="113" t="n"/>
      <x:c r="C146" s="113" t="n"/>
      <x:c r="D146" s="113" t="n"/>
      <x:c r="E146" s="289" t="n"/>
      <x:c r="F146" s="289" t="n"/>
      <x:c r="G146" s="289" t="n"/>
      <x:c r="H146" s="289" t="n"/>
      <x:c r="I146" s="289" t="n"/>
      <x:c r="J146" s="289" t="n"/>
      <x:c r="K146" s="289" t="n"/>
      <x:c r="L146" s="289" t="n"/>
      <x:c r="M146" s="289" t="n"/>
      <x:c r="N146" s="289" t="n"/>
      <x:c r="O146" s="289" t="n"/>
      <x:c r="P146" s="289" t="n"/>
      <x:c r="Q146" s="289" t="n"/>
      <x:c r="R146" s="289" t="n"/>
      <x:c r="S146" s="289" t="n"/>
      <x:c r="T146" s="289" t="n"/>
      <x:c r="U146" s="289" t="n"/>
      <x:c r="V146" s="289" t="n"/>
      <x:c r="W146" s="289" t="n"/>
      <x:c r="X146" s="289" t="n"/>
      <x:c r="Y146" s="289" t="n"/>
      <x:c r="Z146" s="289" t="n"/>
    </x:row>
    <x:row r="147">
      <x:c r="A147" s="113" t="n"/>
      <x:c r="B147" s="113" t="n"/>
      <x:c r="C147" s="113" t="n"/>
      <x:c r="D147" s="113" t="n"/>
      <x:c r="E147" s="289" t="n"/>
      <x:c r="F147" s="289" t="n"/>
      <x:c r="G147" s="289" t="n"/>
      <x:c r="H147" s="289" t="n"/>
      <x:c r="I147" s="289" t="n"/>
      <x:c r="J147" s="289" t="n"/>
      <x:c r="K147" s="289" t="n"/>
      <x:c r="L147" s="289" t="n"/>
      <x:c r="M147" s="289" t="n"/>
      <x:c r="N147" s="289" t="n"/>
      <x:c r="O147" s="289" t="n"/>
      <x:c r="P147" s="289" t="n"/>
      <x:c r="Q147" s="289" t="n"/>
      <x:c r="R147" s="289" t="n"/>
      <x:c r="S147" s="289" t="n"/>
      <x:c r="T147" s="289" t="n"/>
      <x:c r="U147" s="289" t="n"/>
      <x:c r="V147" s="289" t="n"/>
      <x:c r="W147" s="289" t="n"/>
      <x:c r="X147" s="289" t="n"/>
      <x:c r="Y147" s="289" t="n"/>
      <x:c r="Z147" s="289" t="n"/>
    </x:row>
    <x:row r="148">
      <x:c r="A148" s="113" t="n"/>
      <x:c r="B148" s="113" t="n"/>
      <x:c r="C148" s="113" t="n"/>
      <x:c r="D148" s="113" t="n"/>
      <x:c r="E148" s="289" t="n"/>
      <x:c r="F148" s="289" t="n"/>
      <x:c r="G148" s="289" t="n"/>
      <x:c r="H148" s="289" t="n"/>
      <x:c r="I148" s="289" t="n"/>
      <x:c r="J148" s="289" t="n"/>
      <x:c r="K148" s="289" t="n"/>
      <x:c r="L148" s="289" t="n"/>
      <x:c r="M148" s="289" t="n"/>
      <x:c r="N148" s="289" t="n"/>
      <x:c r="O148" s="289" t="n"/>
      <x:c r="P148" s="289" t="n"/>
      <x:c r="Q148" s="289" t="n"/>
      <x:c r="R148" s="289" t="n"/>
      <x:c r="S148" s="289" t="n"/>
      <x:c r="T148" s="289" t="n"/>
      <x:c r="U148" s="289" t="n"/>
      <x:c r="V148" s="289" t="n"/>
      <x:c r="W148" s="289" t="n"/>
      <x:c r="X148" s="289" t="n"/>
      <x:c r="Y148" s="289" t="n"/>
      <x:c r="Z148" s="289" t="n"/>
    </x:row>
    <x:row r="149">
      <x:c r="A149" s="113" t="n"/>
      <x:c r="B149" s="113" t="n"/>
      <x:c r="C149" s="113" t="n"/>
      <x:c r="D149" s="113" t="n"/>
      <x:c r="E149" s="289" t="n"/>
      <x:c r="F149" s="289" t="n"/>
      <x:c r="G149" s="289" t="n"/>
      <x:c r="H149" s="289" t="n"/>
      <x:c r="I149" s="289" t="n"/>
      <x:c r="J149" s="289" t="n"/>
      <x:c r="K149" s="289" t="n"/>
      <x:c r="L149" s="289" t="n"/>
      <x:c r="M149" s="289" t="n"/>
      <x:c r="N149" s="289" t="n"/>
      <x:c r="O149" s="289" t="n"/>
      <x:c r="P149" s="289" t="n"/>
      <x:c r="Q149" s="289" t="n"/>
      <x:c r="R149" s="289" t="n"/>
      <x:c r="S149" s="289" t="n"/>
      <x:c r="T149" s="289" t="n"/>
      <x:c r="U149" s="289" t="n"/>
      <x:c r="V149" s="289" t="n"/>
      <x:c r="W149" s="289" t="n"/>
      <x:c r="X149" s="289" t="n"/>
      <x:c r="Y149" s="289" t="n"/>
      <x:c r="Z149" s="289" t="n"/>
    </x:row>
    <x:row r="150">
      <x:c r="A150" s="113" t="n"/>
      <x:c r="B150" s="113" t="n"/>
      <x:c r="C150" s="113" t="n"/>
      <x:c r="D150" s="113" t="n"/>
      <x:c r="E150" s="289" t="n"/>
      <x:c r="F150" s="289" t="n"/>
      <x:c r="G150" s="289" t="n"/>
      <x:c r="H150" s="289" t="n"/>
      <x:c r="I150" s="289" t="n"/>
      <x:c r="J150" s="289" t="n"/>
      <x:c r="K150" s="289" t="n"/>
      <x:c r="L150" s="289" t="n"/>
      <x:c r="M150" s="289" t="n"/>
      <x:c r="N150" s="289" t="n"/>
      <x:c r="O150" s="289" t="n"/>
      <x:c r="P150" s="289" t="n"/>
      <x:c r="Q150" s="289" t="n"/>
      <x:c r="R150" s="289" t="n"/>
      <x:c r="S150" s="289" t="n"/>
      <x:c r="T150" s="289" t="n"/>
      <x:c r="U150" s="289" t="n"/>
      <x:c r="V150" s="289" t="n"/>
      <x:c r="W150" s="289" t="n"/>
      <x:c r="X150" s="289" t="n"/>
      <x:c r="Y150" s="289" t="n"/>
      <x:c r="Z150" s="289" t="n"/>
    </x:row>
    <x:row r="151">
      <x:c r="A151" s="113" t="n"/>
      <x:c r="B151" s="113" t="n"/>
      <x:c r="C151" s="113" t="n"/>
      <x:c r="D151" s="113" t="n"/>
      <x:c r="E151" s="289" t="n"/>
      <x:c r="F151" s="289" t="n"/>
      <x:c r="G151" s="289" t="n"/>
      <x:c r="H151" s="289" t="n"/>
      <x:c r="I151" s="289" t="n"/>
      <x:c r="J151" s="289" t="n"/>
      <x:c r="K151" s="289" t="n"/>
      <x:c r="L151" s="289" t="n"/>
      <x:c r="M151" s="289" t="n"/>
      <x:c r="N151" s="289" t="n"/>
      <x:c r="O151" s="289" t="n"/>
      <x:c r="P151" s="289" t="n"/>
      <x:c r="Q151" s="289" t="n"/>
      <x:c r="R151" s="289" t="n"/>
      <x:c r="S151" s="289" t="n"/>
      <x:c r="T151" s="289" t="n"/>
      <x:c r="U151" s="289" t="n"/>
      <x:c r="V151" s="289" t="n"/>
      <x:c r="W151" s="289" t="n"/>
      <x:c r="X151" s="289" t="n"/>
      <x:c r="Y151" s="289" t="n"/>
      <x:c r="Z151" s="289" t="n"/>
    </x:row>
    <x:row r="152">
      <x:c r="A152" s="113" t="n"/>
      <x:c r="B152" s="113" t="n"/>
      <x:c r="C152" s="113" t="n"/>
      <x:c r="D152" s="113" t="n"/>
      <x:c r="E152" s="289" t="n"/>
      <x:c r="F152" s="289" t="n"/>
      <x:c r="G152" s="289" t="n"/>
      <x:c r="H152" s="289" t="n"/>
      <x:c r="I152" s="289" t="n"/>
      <x:c r="J152" s="289" t="n"/>
      <x:c r="K152" s="289" t="n"/>
      <x:c r="L152" s="289" t="n"/>
      <x:c r="M152" s="289" t="n"/>
      <x:c r="N152" s="289" t="n"/>
      <x:c r="O152" s="289" t="n"/>
      <x:c r="P152" s="289" t="n"/>
      <x:c r="Q152" s="289" t="n"/>
      <x:c r="R152" s="289" t="n"/>
      <x:c r="S152" s="289" t="n"/>
      <x:c r="T152" s="289" t="n"/>
      <x:c r="U152" s="289" t="n"/>
      <x:c r="V152" s="289" t="n"/>
      <x:c r="W152" s="289" t="n"/>
      <x:c r="X152" s="289" t="n"/>
      <x:c r="Y152" s="289" t="n"/>
      <x:c r="Z152" s="289" t="n"/>
    </x:row>
    <x:row r="153">
      <x:c r="A153" s="113" t="n"/>
      <x:c r="B153" s="113" t="n"/>
      <x:c r="C153" s="113" t="n"/>
      <x:c r="D153" s="113" t="n"/>
      <x:c r="E153" s="289" t="n"/>
      <x:c r="F153" s="289" t="n"/>
      <x:c r="G153" s="289" t="n"/>
      <x:c r="H153" s="289" t="n"/>
      <x:c r="I153" s="289" t="n"/>
      <x:c r="J153" s="289" t="n"/>
      <x:c r="K153" s="289" t="n"/>
      <x:c r="L153" s="289" t="n"/>
      <x:c r="M153" s="289" t="n"/>
      <x:c r="N153" s="289" t="n"/>
      <x:c r="O153" s="289" t="n"/>
      <x:c r="P153" s="289" t="n"/>
      <x:c r="Q153" s="289" t="n"/>
      <x:c r="R153" s="289" t="n"/>
      <x:c r="S153" s="289" t="n"/>
      <x:c r="T153" s="289" t="n"/>
      <x:c r="U153" s="289" t="n"/>
      <x:c r="V153" s="289" t="n"/>
      <x:c r="W153" s="289" t="n"/>
      <x:c r="X153" s="289" t="n"/>
      <x:c r="Y153" s="289" t="n"/>
      <x:c r="Z153" s="289" t="n"/>
    </x:row>
    <x:row r="154">
      <x:c r="A154" s="113" t="n"/>
      <x:c r="B154" s="113" t="n"/>
      <x:c r="C154" s="113" t="n"/>
      <x:c r="D154" s="113" t="n"/>
      <x:c r="E154" s="289" t="n"/>
      <x:c r="F154" s="289" t="n"/>
      <x:c r="G154" s="289" t="n"/>
      <x:c r="H154" s="289" t="n"/>
      <x:c r="I154" s="289" t="n"/>
      <x:c r="J154" s="289" t="n"/>
      <x:c r="K154" s="289" t="n"/>
      <x:c r="L154" s="289" t="n"/>
      <x:c r="M154" s="289" t="n"/>
      <x:c r="N154" s="289" t="n"/>
      <x:c r="O154" s="289" t="n"/>
      <x:c r="P154" s="289" t="n"/>
      <x:c r="Q154" s="289" t="n"/>
      <x:c r="R154" s="289" t="n"/>
      <x:c r="S154" s="289" t="n"/>
      <x:c r="T154" s="289" t="n"/>
      <x:c r="U154" s="289" t="n"/>
      <x:c r="V154" s="289" t="n"/>
      <x:c r="W154" s="289" t="n"/>
      <x:c r="X154" s="289" t="n"/>
      <x:c r="Y154" s="289" t="n"/>
      <x:c r="Z154" s="289" t="n"/>
    </x:row>
    <x:row r="155">
      <x:c r="A155" s="113" t="n"/>
      <x:c r="B155" s="113" t="n"/>
      <x:c r="C155" s="113" t="n"/>
      <x:c r="D155" s="113" t="n"/>
      <x:c r="E155" s="289" t="n"/>
      <x:c r="F155" s="289" t="n"/>
      <x:c r="G155" s="289" t="n"/>
      <x:c r="H155" s="289" t="n"/>
      <x:c r="I155" s="289" t="n"/>
      <x:c r="J155" s="289" t="n"/>
      <x:c r="K155" s="289" t="n"/>
      <x:c r="L155" s="289" t="n"/>
      <x:c r="M155" s="289" t="n"/>
      <x:c r="N155" s="289" t="n"/>
      <x:c r="O155" s="289" t="n"/>
      <x:c r="P155" s="289" t="n"/>
      <x:c r="Q155" s="289" t="n"/>
      <x:c r="R155" s="289" t="n"/>
      <x:c r="S155" s="289" t="n"/>
      <x:c r="T155" s="289" t="n"/>
      <x:c r="U155" s="289" t="n"/>
      <x:c r="V155" s="289" t="n"/>
      <x:c r="W155" s="289" t="n"/>
      <x:c r="X155" s="289" t="n"/>
      <x:c r="Y155" s="289" t="n"/>
      <x:c r="Z155" s="289" t="n"/>
    </x:row>
    <x:row r="156">
      <x:c r="A156" s="113" t="n"/>
      <x:c r="B156" s="113" t="n"/>
      <x:c r="C156" s="113" t="n"/>
      <x:c r="D156" s="113" t="n"/>
      <x:c r="E156" s="289" t="n"/>
      <x:c r="F156" s="289" t="n"/>
      <x:c r="G156" s="289" t="n"/>
      <x:c r="H156" s="289" t="n"/>
      <x:c r="I156" s="289" t="n"/>
      <x:c r="J156" s="289" t="n"/>
      <x:c r="K156" s="289" t="n"/>
      <x:c r="L156" s="289" t="n"/>
      <x:c r="M156" s="289" t="n"/>
      <x:c r="N156" s="289" t="n"/>
      <x:c r="O156" s="289" t="n"/>
      <x:c r="P156" s="289" t="n"/>
      <x:c r="Q156" s="289" t="n"/>
      <x:c r="R156" s="289" t="n"/>
      <x:c r="S156" s="289" t="n"/>
      <x:c r="T156" s="289" t="n"/>
      <x:c r="U156" s="289" t="n"/>
      <x:c r="V156" s="289" t="n"/>
      <x:c r="W156" s="289" t="n"/>
      <x:c r="X156" s="289" t="n"/>
      <x:c r="Y156" s="289" t="n"/>
      <x:c r="Z156" s="289" t="n"/>
    </x:row>
    <x:row r="157">
      <x:c r="A157" s="113" t="n"/>
      <x:c r="B157" s="113" t="n"/>
      <x:c r="C157" s="113" t="n"/>
      <x:c r="D157" s="113" t="n"/>
      <x:c r="E157" s="289" t="n"/>
      <x:c r="F157" s="289" t="n"/>
      <x:c r="G157" s="289" t="n"/>
      <x:c r="H157" s="289" t="n"/>
      <x:c r="I157" s="289" t="n"/>
      <x:c r="J157" s="289" t="n"/>
      <x:c r="K157" s="289" t="n"/>
      <x:c r="L157" s="289" t="n"/>
      <x:c r="M157" s="289" t="n"/>
      <x:c r="N157" s="289" t="n"/>
      <x:c r="O157" s="289" t="n"/>
      <x:c r="P157" s="289" t="n"/>
      <x:c r="Q157" s="289" t="n"/>
      <x:c r="R157" s="289" t="n"/>
      <x:c r="S157" s="289" t="n"/>
      <x:c r="T157" s="289" t="n"/>
      <x:c r="U157" s="289" t="n"/>
      <x:c r="V157" s="289" t="n"/>
      <x:c r="W157" s="289" t="n"/>
      <x:c r="X157" s="289" t="n"/>
      <x:c r="Y157" s="289" t="n"/>
      <x:c r="Z157" s="289" t="n"/>
    </x:row>
    <x:row r="158">
      <x:c r="A158" s="113" t="n"/>
      <x:c r="B158" s="113" t="n"/>
      <x:c r="C158" s="113" t="n"/>
      <x:c r="D158" s="113" t="n"/>
      <x:c r="E158" s="289" t="n"/>
      <x:c r="F158" s="289" t="n"/>
      <x:c r="G158" s="289" t="n"/>
      <x:c r="H158" s="289" t="n"/>
      <x:c r="I158" s="289" t="n"/>
      <x:c r="J158" s="289" t="n"/>
      <x:c r="K158" s="289" t="n"/>
      <x:c r="L158" s="289" t="n"/>
      <x:c r="M158" s="289" t="n"/>
      <x:c r="N158" s="289" t="n"/>
      <x:c r="O158" s="289" t="n"/>
      <x:c r="P158" s="289" t="n"/>
      <x:c r="Q158" s="289" t="n"/>
      <x:c r="R158" s="289" t="n"/>
      <x:c r="S158" s="289" t="n"/>
      <x:c r="T158" s="289" t="n"/>
      <x:c r="U158" s="289" t="n"/>
      <x:c r="V158" s="289" t="n"/>
      <x:c r="W158" s="289" t="n"/>
      <x:c r="X158" s="289" t="n"/>
      <x:c r="Y158" s="289" t="n"/>
      <x:c r="Z158" s="289" t="n"/>
    </x:row>
    <x:row r="159">
      <x:c r="A159" s="113" t="n"/>
      <x:c r="B159" s="113" t="n"/>
      <x:c r="C159" s="113" t="n"/>
      <x:c r="D159" s="113" t="n"/>
      <x:c r="E159" s="289" t="n"/>
      <x:c r="F159" s="289" t="n"/>
      <x:c r="G159" s="289" t="n"/>
      <x:c r="H159" s="289" t="n"/>
      <x:c r="I159" s="289" t="n"/>
      <x:c r="J159" s="289" t="n"/>
      <x:c r="K159" s="289" t="n"/>
      <x:c r="L159" s="289" t="n"/>
      <x:c r="M159" s="289" t="n"/>
      <x:c r="N159" s="289" t="n"/>
      <x:c r="O159" s="289" t="n"/>
      <x:c r="P159" s="289" t="n"/>
      <x:c r="Q159" s="289" t="n"/>
      <x:c r="R159" s="289" t="n"/>
      <x:c r="S159" s="289" t="n"/>
      <x:c r="T159" s="289" t="n"/>
      <x:c r="U159" s="289" t="n"/>
      <x:c r="V159" s="289" t="n"/>
      <x:c r="W159" s="289" t="n"/>
      <x:c r="X159" s="289" t="n"/>
      <x:c r="Y159" s="289" t="n"/>
      <x:c r="Z159" s="289" t="n"/>
    </x:row>
    <x:row r="160">
      <x:c r="A160" s="113" t="n"/>
      <x:c r="B160" s="113" t="n"/>
      <x:c r="C160" s="113" t="n"/>
      <x:c r="D160" s="113" t="n"/>
      <x:c r="E160" s="289" t="n"/>
      <x:c r="F160" s="289" t="n"/>
      <x:c r="G160" s="289" t="n"/>
      <x:c r="H160" s="289" t="n"/>
      <x:c r="I160" s="289" t="n"/>
      <x:c r="J160" s="289" t="n"/>
      <x:c r="K160" s="289" t="n"/>
      <x:c r="L160" s="289" t="n"/>
      <x:c r="M160" s="289" t="n"/>
      <x:c r="N160" s="289" t="n"/>
      <x:c r="O160" s="289" t="n"/>
      <x:c r="P160" s="289" t="n"/>
      <x:c r="Q160" s="289" t="n"/>
      <x:c r="R160" s="289" t="n"/>
      <x:c r="S160" s="289" t="n"/>
      <x:c r="T160" s="289" t="n"/>
      <x:c r="U160" s="289" t="n"/>
      <x:c r="V160" s="289" t="n"/>
      <x:c r="W160" s="289" t="n"/>
      <x:c r="X160" s="289" t="n"/>
      <x:c r="Y160" s="289" t="n"/>
      <x:c r="Z160" s="289" t="n"/>
    </x:row>
    <x:row r="161">
      <x:c r="A161" s="113" t="n"/>
      <x:c r="B161" s="113" t="n"/>
      <x:c r="C161" s="113" t="n"/>
      <x:c r="D161" s="113" t="n"/>
      <x:c r="E161" s="289" t="n"/>
      <x:c r="F161" s="289" t="n"/>
      <x:c r="G161" s="289" t="n"/>
      <x:c r="H161" s="289" t="n"/>
      <x:c r="I161" s="289" t="n"/>
      <x:c r="J161" s="289" t="n"/>
      <x:c r="K161" s="289" t="n"/>
      <x:c r="L161" s="289" t="n"/>
      <x:c r="M161" s="289" t="n"/>
      <x:c r="N161" s="289" t="n"/>
      <x:c r="O161" s="289" t="n"/>
      <x:c r="P161" s="289" t="n"/>
      <x:c r="Q161" s="289" t="n"/>
      <x:c r="R161" s="289" t="n"/>
      <x:c r="S161" s="289" t="n"/>
      <x:c r="T161" s="289" t="n"/>
      <x:c r="U161" s="289" t="n"/>
      <x:c r="V161" s="289" t="n"/>
      <x:c r="W161" s="289" t="n"/>
      <x:c r="X161" s="289" t="n"/>
      <x:c r="Y161" s="289" t="n"/>
      <x:c r="Z161" s="289" t="n"/>
    </x:row>
    <x:row r="162">
      <x:c r="A162" s="113" t="n"/>
      <x:c r="B162" s="113" t="n"/>
      <x:c r="C162" s="113" t="n"/>
      <x:c r="D162" s="113" t="n"/>
      <x:c r="E162" s="289" t="n"/>
      <x:c r="F162" s="289" t="n"/>
      <x:c r="G162" s="289" t="n"/>
      <x:c r="H162" s="289" t="n"/>
      <x:c r="I162" s="289" t="n"/>
      <x:c r="J162" s="289" t="n"/>
      <x:c r="K162" s="289" t="n"/>
      <x:c r="L162" s="289" t="n"/>
      <x:c r="M162" s="289" t="n"/>
      <x:c r="N162" s="289" t="n"/>
      <x:c r="O162" s="289" t="n"/>
      <x:c r="P162" s="289" t="n"/>
      <x:c r="Q162" s="289" t="n"/>
      <x:c r="R162" s="289" t="n"/>
      <x:c r="S162" s="289" t="n"/>
      <x:c r="T162" s="289" t="n"/>
      <x:c r="U162" s="289" t="n"/>
      <x:c r="V162" s="289" t="n"/>
      <x:c r="W162" s="289" t="n"/>
      <x:c r="X162" s="289" t="n"/>
      <x:c r="Y162" s="289" t="n"/>
      <x:c r="Z162" s="289" t="n"/>
    </x:row>
    <x:row r="163">
      <x:c r="A163" s="113" t="n"/>
      <x:c r="B163" s="113" t="n"/>
      <x:c r="C163" s="113" t="n"/>
      <x:c r="D163" s="113" t="n"/>
      <x:c r="E163" s="289" t="n"/>
      <x:c r="F163" s="289" t="n"/>
      <x:c r="G163" s="289" t="n"/>
      <x:c r="H163" s="289" t="n"/>
      <x:c r="I163" s="289" t="n"/>
      <x:c r="J163" s="289" t="n"/>
      <x:c r="K163" s="289" t="n"/>
      <x:c r="L163" s="289" t="n"/>
      <x:c r="M163" s="289" t="n"/>
      <x:c r="N163" s="289" t="n"/>
      <x:c r="O163" s="289" t="n"/>
      <x:c r="P163" s="289" t="n"/>
      <x:c r="Q163" s="289" t="n"/>
      <x:c r="R163" s="289" t="n"/>
      <x:c r="S163" s="289" t="n"/>
      <x:c r="T163" s="289" t="n"/>
      <x:c r="U163" s="289" t="n"/>
      <x:c r="V163" s="289" t="n"/>
      <x:c r="W163" s="289" t="n"/>
      <x:c r="X163" s="289" t="n"/>
      <x:c r="Y163" s="289" t="n"/>
      <x:c r="Z163" s="289" t="n"/>
    </x:row>
    <x:row r="164">
      <x:c r="A164" s="113" t="n"/>
      <x:c r="B164" s="113" t="n"/>
      <x:c r="C164" s="113" t="n"/>
      <x:c r="D164" s="113" t="n"/>
      <x:c r="E164" s="289" t="n"/>
      <x:c r="F164" s="289" t="n"/>
      <x:c r="G164" s="289" t="n"/>
      <x:c r="H164" s="289" t="n"/>
      <x:c r="I164" s="289" t="n"/>
      <x:c r="J164" s="289" t="n"/>
      <x:c r="K164" s="289" t="n"/>
      <x:c r="L164" s="289" t="n"/>
      <x:c r="M164" s="289" t="n"/>
      <x:c r="N164" s="289" t="n"/>
      <x:c r="O164" s="289" t="n"/>
      <x:c r="P164" s="289" t="n"/>
      <x:c r="Q164" s="289" t="n"/>
      <x:c r="R164" s="289" t="n"/>
      <x:c r="S164" s="289" t="n"/>
      <x:c r="T164" s="289" t="n"/>
      <x:c r="U164" s="289" t="n"/>
      <x:c r="V164" s="289" t="n"/>
      <x:c r="W164" s="289" t="n"/>
      <x:c r="X164" s="289" t="n"/>
      <x:c r="Y164" s="289" t="n"/>
      <x:c r="Z164" s="289" t="n"/>
    </x:row>
    <x:row r="165">
      <x:c r="A165" s="113" t="n"/>
      <x:c r="B165" s="113" t="n"/>
      <x:c r="C165" s="113" t="n"/>
      <x:c r="D165" s="113" t="n"/>
      <x:c r="E165" s="289" t="n"/>
      <x:c r="F165" s="289" t="n"/>
      <x:c r="G165" s="289" t="n"/>
      <x:c r="H165" s="289" t="n"/>
      <x:c r="I165" s="289" t="n"/>
      <x:c r="J165" s="289" t="n"/>
      <x:c r="K165" s="289" t="n"/>
      <x:c r="L165" s="289" t="n"/>
      <x:c r="M165" s="289" t="n"/>
      <x:c r="N165" s="289" t="n"/>
      <x:c r="O165" s="289" t="n"/>
      <x:c r="P165" s="289" t="n"/>
      <x:c r="Q165" s="289" t="n"/>
      <x:c r="R165" s="289" t="n"/>
      <x:c r="S165" s="289" t="n"/>
      <x:c r="T165" s="289" t="n"/>
      <x:c r="U165" s="289" t="n"/>
      <x:c r="V165" s="289" t="n"/>
      <x:c r="W165" s="289" t="n"/>
      <x:c r="X165" s="289" t="n"/>
      <x:c r="Y165" s="289" t="n"/>
      <x:c r="Z165" s="289" t="n"/>
    </x:row>
    <x:row r="166">
      <x:c r="A166" s="113" t="n"/>
      <x:c r="B166" s="113" t="n"/>
      <x:c r="C166" s="113" t="n"/>
      <x:c r="D166" s="113" t="n"/>
      <x:c r="E166" s="289" t="n"/>
      <x:c r="F166" s="289" t="n"/>
      <x:c r="G166" s="289" t="n"/>
      <x:c r="H166" s="289" t="n"/>
      <x:c r="I166" s="289" t="n"/>
      <x:c r="J166" s="289" t="n"/>
      <x:c r="K166" s="289" t="n"/>
      <x:c r="L166" s="289" t="n"/>
      <x:c r="M166" s="289" t="n"/>
      <x:c r="N166" s="289" t="n"/>
      <x:c r="O166" s="289" t="n"/>
      <x:c r="P166" s="289" t="n"/>
      <x:c r="Q166" s="289" t="n"/>
      <x:c r="R166" s="289" t="n"/>
      <x:c r="S166" s="289" t="n"/>
      <x:c r="T166" s="289" t="n"/>
      <x:c r="U166" s="289" t="n"/>
      <x:c r="V166" s="289" t="n"/>
      <x:c r="W166" s="289" t="n"/>
      <x:c r="X166" s="289" t="n"/>
      <x:c r="Y166" s="289" t="n"/>
      <x:c r="Z166" s="289" t="n"/>
    </x:row>
    <x:row r="167">
      <x:c r="A167" s="113" t="n"/>
      <x:c r="B167" s="113" t="n"/>
      <x:c r="C167" s="113" t="n"/>
      <x:c r="D167" s="113" t="n"/>
      <x:c r="E167" s="289" t="n"/>
      <x:c r="F167" s="289" t="n"/>
      <x:c r="G167" s="289" t="n"/>
      <x:c r="H167" s="289" t="n"/>
      <x:c r="I167" s="289" t="n"/>
      <x:c r="J167" s="289" t="n"/>
      <x:c r="K167" s="289" t="n"/>
      <x:c r="L167" s="289" t="n"/>
      <x:c r="M167" s="289" t="n"/>
      <x:c r="N167" s="289" t="n"/>
      <x:c r="O167" s="289" t="n"/>
      <x:c r="P167" s="289" t="n"/>
      <x:c r="Q167" s="289" t="n"/>
      <x:c r="R167" s="289" t="n"/>
      <x:c r="S167" s="289" t="n"/>
      <x:c r="T167" s="289" t="n"/>
      <x:c r="U167" s="289" t="n"/>
      <x:c r="V167" s="289" t="n"/>
      <x:c r="W167" s="289" t="n"/>
      <x:c r="X167" s="289" t="n"/>
      <x:c r="Y167" s="289" t="n"/>
      <x:c r="Z167" s="289" t="n"/>
    </x:row>
    <x:row r="168">
      <x:c r="A168" s="113" t="n"/>
      <x:c r="B168" s="113" t="n"/>
      <x:c r="C168" s="113" t="n"/>
      <x:c r="D168" s="113" t="n"/>
      <x:c r="E168" s="289" t="n"/>
      <x:c r="F168" s="289" t="n"/>
      <x:c r="G168" s="289" t="n"/>
      <x:c r="H168" s="289" t="n"/>
      <x:c r="I168" s="289" t="n"/>
      <x:c r="J168" s="289" t="n"/>
      <x:c r="K168" s="289" t="n"/>
      <x:c r="L168" s="289" t="n"/>
      <x:c r="M168" s="289" t="n"/>
      <x:c r="N168" s="289" t="n"/>
      <x:c r="O168" s="289" t="n"/>
      <x:c r="P168" s="289" t="n"/>
      <x:c r="Q168" s="289" t="n"/>
      <x:c r="R168" s="289" t="n"/>
      <x:c r="S168" s="289" t="n"/>
      <x:c r="T168" s="289" t="n"/>
      <x:c r="U168" s="289" t="n"/>
      <x:c r="V168" s="289" t="n"/>
      <x:c r="W168" s="289" t="n"/>
      <x:c r="X168" s="289" t="n"/>
      <x:c r="Y168" s="289" t="n"/>
      <x:c r="Z168" s="289" t="n"/>
    </x:row>
    <x:row r="169">
      <x:c r="A169" s="113" t="n"/>
      <x:c r="B169" s="113" t="n"/>
      <x:c r="C169" s="113" t="n"/>
      <x:c r="D169" s="113" t="n"/>
      <x:c r="E169" s="289" t="n"/>
      <x:c r="F169" s="289" t="n"/>
      <x:c r="G169" s="289" t="n"/>
      <x:c r="H169" s="289" t="n"/>
      <x:c r="I169" s="289" t="n"/>
      <x:c r="J169" s="289" t="n"/>
      <x:c r="K169" s="289" t="n"/>
      <x:c r="L169" s="289" t="n"/>
      <x:c r="M169" s="289" t="n"/>
      <x:c r="N169" s="289" t="n"/>
      <x:c r="O169" s="289" t="n"/>
      <x:c r="P169" s="289" t="n"/>
      <x:c r="Q169" s="289" t="n"/>
      <x:c r="R169" s="289" t="n"/>
      <x:c r="S169" s="289" t="n"/>
      <x:c r="T169" s="289" t="n"/>
      <x:c r="U169" s="289" t="n"/>
      <x:c r="V169" s="289" t="n"/>
      <x:c r="W169" s="289" t="n"/>
      <x:c r="X169" s="289" t="n"/>
      <x:c r="Y169" s="289" t="n"/>
      <x:c r="Z169" s="289" t="n"/>
    </x:row>
    <x:row r="170">
      <x:c r="A170" s="113" t="n"/>
      <x:c r="B170" s="113" t="n"/>
      <x:c r="C170" s="113" t="n"/>
      <x:c r="D170" s="113" t="n"/>
      <x:c r="E170" s="289" t="n"/>
      <x:c r="F170" s="289" t="n"/>
      <x:c r="G170" s="289" t="n"/>
      <x:c r="H170" s="289" t="n"/>
      <x:c r="I170" s="289" t="n"/>
      <x:c r="J170" s="289" t="n"/>
      <x:c r="K170" s="289" t="n"/>
      <x:c r="L170" s="289" t="n"/>
      <x:c r="M170" s="289" t="n"/>
      <x:c r="N170" s="289" t="n"/>
      <x:c r="O170" s="289" t="n"/>
      <x:c r="P170" s="289" t="n"/>
      <x:c r="Q170" s="289" t="n"/>
      <x:c r="R170" s="289" t="n"/>
      <x:c r="S170" s="289" t="n"/>
      <x:c r="T170" s="289" t="n"/>
      <x:c r="U170" s="289" t="n"/>
      <x:c r="V170" s="289" t="n"/>
      <x:c r="W170" s="289" t="n"/>
      <x:c r="X170" s="289" t="n"/>
      <x:c r="Y170" s="289" t="n"/>
      <x:c r="Z170" s="289" t="n"/>
    </x:row>
    <x:row r="171">
      <x:c r="A171" s="113" t="n"/>
      <x:c r="B171" s="113" t="n"/>
      <x:c r="C171" s="113" t="n"/>
      <x:c r="D171" s="113" t="n"/>
      <x:c r="E171" s="289" t="n"/>
      <x:c r="F171" s="289" t="n"/>
      <x:c r="G171" s="289" t="n"/>
      <x:c r="H171" s="289" t="n"/>
      <x:c r="I171" s="289" t="n"/>
      <x:c r="J171" s="289" t="n"/>
      <x:c r="K171" s="289" t="n"/>
      <x:c r="L171" s="289" t="n"/>
      <x:c r="M171" s="289" t="n"/>
      <x:c r="N171" s="289" t="n"/>
      <x:c r="O171" s="289" t="n"/>
      <x:c r="P171" s="289" t="n"/>
      <x:c r="Q171" s="289" t="n"/>
      <x:c r="R171" s="289" t="n"/>
      <x:c r="S171" s="289" t="n"/>
      <x:c r="T171" s="289" t="n"/>
      <x:c r="U171" s="289" t="n"/>
      <x:c r="V171" s="289" t="n"/>
      <x:c r="W171" s="289" t="n"/>
      <x:c r="X171" s="289" t="n"/>
      <x:c r="Y171" s="289" t="n"/>
      <x:c r="Z171" s="289" t="n"/>
    </x:row>
    <x:row r="172">
      <x:c r="A172" s="113" t="n"/>
      <x:c r="B172" s="113" t="n"/>
      <x:c r="C172" s="113" t="n"/>
      <x:c r="D172" s="113" t="n"/>
      <x:c r="E172" s="289" t="n"/>
      <x:c r="F172" s="289" t="n"/>
      <x:c r="G172" s="289" t="n"/>
      <x:c r="H172" s="289" t="n"/>
      <x:c r="I172" s="289" t="n"/>
      <x:c r="J172" s="289" t="n"/>
      <x:c r="K172" s="289" t="n"/>
      <x:c r="L172" s="289" t="n"/>
      <x:c r="M172" s="289" t="n"/>
      <x:c r="N172" s="289" t="n"/>
      <x:c r="O172" s="289" t="n"/>
      <x:c r="P172" s="289" t="n"/>
      <x:c r="Q172" s="289" t="n"/>
      <x:c r="R172" s="289" t="n"/>
      <x:c r="S172" s="289" t="n"/>
      <x:c r="T172" s="289" t="n"/>
      <x:c r="U172" s="289" t="n"/>
      <x:c r="V172" s="289" t="n"/>
      <x:c r="W172" s="289" t="n"/>
      <x:c r="X172" s="289" t="n"/>
      <x:c r="Y172" s="289" t="n"/>
      <x:c r="Z172" s="289" t="n"/>
    </x:row>
    <x:row r="173">
      <x:c r="A173" s="113" t="n"/>
      <x:c r="B173" s="113" t="n"/>
      <x:c r="C173" s="113" t="n"/>
      <x:c r="D173" s="113" t="n"/>
      <x:c r="E173" s="289" t="n"/>
      <x:c r="F173" s="289" t="n"/>
      <x:c r="G173" s="289" t="n"/>
      <x:c r="H173" s="289" t="n"/>
      <x:c r="I173" s="289" t="n"/>
      <x:c r="J173" s="289" t="n"/>
      <x:c r="K173" s="289" t="n"/>
      <x:c r="L173" s="289" t="n"/>
      <x:c r="M173" s="289" t="n"/>
      <x:c r="N173" s="289" t="n"/>
      <x:c r="O173" s="289" t="n"/>
      <x:c r="P173" s="289" t="n"/>
      <x:c r="Q173" s="289" t="n"/>
      <x:c r="R173" s="289" t="n"/>
      <x:c r="S173" s="289" t="n"/>
      <x:c r="T173" s="289" t="n"/>
      <x:c r="U173" s="289" t="n"/>
      <x:c r="V173" s="289" t="n"/>
      <x:c r="W173" s="289" t="n"/>
      <x:c r="X173" s="289" t="n"/>
      <x:c r="Y173" s="289" t="n"/>
      <x:c r="Z173" s="289" t="n"/>
    </x:row>
    <x:row r="174">
      <x:c r="A174" s="113" t="n"/>
      <x:c r="B174" s="113" t="n"/>
      <x:c r="C174" s="113" t="n"/>
      <x:c r="D174" s="113" t="n"/>
      <x:c r="E174" s="289" t="n"/>
      <x:c r="F174" s="289" t="n"/>
      <x:c r="G174" s="289" t="n"/>
      <x:c r="H174" s="289" t="n"/>
      <x:c r="I174" s="289" t="n"/>
      <x:c r="J174" s="289" t="n"/>
      <x:c r="K174" s="289" t="n"/>
      <x:c r="L174" s="289" t="n"/>
      <x:c r="M174" s="289" t="n"/>
      <x:c r="N174" s="289" t="n"/>
      <x:c r="O174" s="289" t="n"/>
      <x:c r="P174" s="289" t="n"/>
      <x:c r="Q174" s="289" t="n"/>
      <x:c r="R174" s="289" t="n"/>
      <x:c r="S174" s="289" t="n"/>
      <x:c r="T174" s="289" t="n"/>
      <x:c r="U174" s="289" t="n"/>
      <x:c r="V174" s="289" t="n"/>
      <x:c r="W174" s="289" t="n"/>
      <x:c r="X174" s="289" t="n"/>
      <x:c r="Y174" s="289" t="n"/>
      <x:c r="Z174" s="289" t="n"/>
    </x:row>
    <x:row r="175">
      <x:c r="A175" s="113" t="n"/>
      <x:c r="B175" s="113" t="n"/>
      <x:c r="C175" s="113" t="n"/>
      <x:c r="D175" s="113" t="n"/>
      <x:c r="E175" s="289" t="n"/>
      <x:c r="F175" s="289" t="n"/>
      <x:c r="G175" s="289" t="n"/>
      <x:c r="H175" s="289" t="n"/>
      <x:c r="I175" s="289" t="n"/>
      <x:c r="J175" s="289" t="n"/>
      <x:c r="K175" s="289" t="n"/>
      <x:c r="L175" s="289" t="n"/>
      <x:c r="M175" s="289" t="n"/>
      <x:c r="N175" s="289" t="n"/>
      <x:c r="O175" s="289" t="n"/>
      <x:c r="P175" s="289" t="n"/>
      <x:c r="Q175" s="289" t="n"/>
      <x:c r="R175" s="289" t="n"/>
      <x:c r="S175" s="289" t="n"/>
      <x:c r="T175" s="289" t="n"/>
      <x:c r="U175" s="289" t="n"/>
      <x:c r="V175" s="289" t="n"/>
      <x:c r="W175" s="289" t="n"/>
      <x:c r="X175" s="289" t="n"/>
      <x:c r="Y175" s="289" t="n"/>
      <x:c r="Z175" s="289" t="n"/>
    </x:row>
    <x:row r="176">
      <x:c r="A176" s="113" t="n"/>
      <x:c r="B176" s="113" t="n"/>
      <x:c r="C176" s="113" t="n"/>
      <x:c r="D176" s="113" t="n"/>
      <x:c r="E176" s="289" t="n"/>
      <x:c r="F176" s="289" t="n"/>
      <x:c r="G176" s="289" t="n"/>
      <x:c r="H176" s="289" t="n"/>
      <x:c r="I176" s="289" t="n"/>
      <x:c r="J176" s="289" t="n"/>
      <x:c r="K176" s="289" t="n"/>
      <x:c r="L176" s="289" t="n"/>
      <x:c r="M176" s="289" t="n"/>
      <x:c r="N176" s="289" t="n"/>
      <x:c r="O176" s="289" t="n"/>
      <x:c r="P176" s="289" t="n"/>
      <x:c r="Q176" s="289" t="n"/>
      <x:c r="R176" s="289" t="n"/>
      <x:c r="S176" s="289" t="n"/>
      <x:c r="T176" s="289" t="n"/>
      <x:c r="U176" s="289" t="n"/>
      <x:c r="V176" s="289" t="n"/>
      <x:c r="W176" s="289" t="n"/>
      <x:c r="X176" s="289" t="n"/>
      <x:c r="Y176" s="289" t="n"/>
      <x:c r="Z176" s="289" t="n"/>
    </x:row>
    <x:row r="177">
      <x:c r="A177" s="113" t="n"/>
      <x:c r="B177" s="113" t="n"/>
      <x:c r="C177" s="113" t="n"/>
      <x:c r="D177" s="113" t="n"/>
      <x:c r="E177" s="289" t="n"/>
      <x:c r="F177" s="289" t="n"/>
      <x:c r="G177" s="289" t="n"/>
      <x:c r="H177" s="289" t="n"/>
      <x:c r="I177" s="289" t="n"/>
      <x:c r="J177" s="289" t="n"/>
      <x:c r="K177" s="289" t="n"/>
      <x:c r="L177" s="289" t="n"/>
      <x:c r="M177" s="289" t="n"/>
      <x:c r="N177" s="289" t="n"/>
      <x:c r="O177" s="289" t="n"/>
      <x:c r="P177" s="289" t="n"/>
      <x:c r="Q177" s="289" t="n"/>
      <x:c r="R177" s="289" t="n"/>
      <x:c r="S177" s="289" t="n"/>
      <x:c r="T177" s="289" t="n"/>
      <x:c r="U177" s="289" t="n"/>
      <x:c r="V177" s="289" t="n"/>
      <x:c r="W177" s="289" t="n"/>
      <x:c r="X177" s="289" t="n"/>
      <x:c r="Y177" s="289" t="n"/>
      <x:c r="Z177" s="289" t="n"/>
    </x:row>
    <x:row r="178">
      <x:c r="A178" s="113" t="n"/>
      <x:c r="B178" s="113" t="n"/>
      <x:c r="C178" s="113" t="n"/>
      <x:c r="D178" s="113" t="n"/>
      <x:c r="E178" s="289" t="n"/>
      <x:c r="F178" s="289" t="n"/>
      <x:c r="G178" s="289" t="n"/>
      <x:c r="H178" s="289" t="n"/>
      <x:c r="I178" s="289" t="n"/>
      <x:c r="J178" s="289" t="n"/>
      <x:c r="K178" s="289" t="n"/>
      <x:c r="L178" s="289" t="n"/>
      <x:c r="M178" s="289" t="n"/>
      <x:c r="N178" s="289" t="n"/>
      <x:c r="O178" s="289" t="n"/>
      <x:c r="P178" s="289" t="n"/>
      <x:c r="Q178" s="289" t="n"/>
      <x:c r="R178" s="289" t="n"/>
      <x:c r="S178" s="289" t="n"/>
      <x:c r="T178" s="289" t="n"/>
      <x:c r="U178" s="289" t="n"/>
      <x:c r="V178" s="289" t="n"/>
      <x:c r="W178" s="289" t="n"/>
      <x:c r="X178" s="289" t="n"/>
      <x:c r="Y178" s="289" t="n"/>
      <x:c r="Z178" s="289" t="n"/>
    </x:row>
    <x:row r="179">
      <x:c r="A179" s="113" t="n"/>
      <x:c r="B179" s="113" t="n"/>
      <x:c r="C179" s="113" t="n"/>
      <x:c r="D179" s="113" t="n"/>
      <x:c r="E179" s="289" t="n"/>
      <x:c r="F179" s="289" t="n"/>
      <x:c r="G179" s="289" t="n"/>
      <x:c r="H179" s="289" t="n"/>
      <x:c r="I179" s="289" t="n"/>
      <x:c r="J179" s="289" t="n"/>
      <x:c r="K179" s="289" t="n"/>
      <x:c r="L179" s="289" t="n"/>
      <x:c r="M179" s="289" t="n"/>
      <x:c r="N179" s="289" t="n"/>
      <x:c r="O179" s="289" t="n"/>
      <x:c r="P179" s="289" t="n"/>
      <x:c r="Q179" s="289" t="n"/>
      <x:c r="R179" s="289" t="n"/>
      <x:c r="S179" s="289" t="n"/>
      <x:c r="T179" s="289" t="n"/>
      <x:c r="U179" s="289" t="n"/>
      <x:c r="V179" s="289" t="n"/>
      <x:c r="W179" s="289" t="n"/>
      <x:c r="X179" s="289" t="n"/>
      <x:c r="Y179" s="289" t="n"/>
      <x:c r="Z179" s="289" t="n"/>
    </x:row>
    <x:row r="180">
      <x:c r="A180" s="113" t="n"/>
      <x:c r="B180" s="113" t="n"/>
      <x:c r="C180" s="113" t="n"/>
      <x:c r="D180" s="113" t="n"/>
      <x:c r="E180" s="289" t="n"/>
      <x:c r="F180" s="289" t="n"/>
      <x:c r="G180" s="289" t="n"/>
      <x:c r="H180" s="289" t="n"/>
      <x:c r="I180" s="289" t="n"/>
      <x:c r="J180" s="289" t="n"/>
      <x:c r="K180" s="289" t="n"/>
      <x:c r="L180" s="289" t="n"/>
      <x:c r="M180" s="289" t="n"/>
      <x:c r="N180" s="289" t="n"/>
      <x:c r="O180" s="289" t="n"/>
      <x:c r="P180" s="289" t="n"/>
      <x:c r="Q180" s="289" t="n"/>
      <x:c r="R180" s="289" t="n"/>
      <x:c r="S180" s="289" t="n"/>
      <x:c r="T180" s="289" t="n"/>
      <x:c r="U180" s="289" t="n"/>
      <x:c r="V180" s="289" t="n"/>
      <x:c r="W180" s="289" t="n"/>
      <x:c r="X180" s="289" t="n"/>
      <x:c r="Y180" s="289" t="n"/>
      <x:c r="Z180" s="289" t="n"/>
    </x:row>
    <x:row r="181">
      <x:c r="A181" s="113" t="n"/>
      <x:c r="B181" s="113" t="n"/>
      <x:c r="C181" s="113" t="n"/>
      <x:c r="D181" s="113" t="n"/>
      <x:c r="E181" s="289" t="n"/>
      <x:c r="F181" s="289" t="n"/>
      <x:c r="G181" s="289" t="n"/>
      <x:c r="H181" s="289" t="n"/>
      <x:c r="I181" s="289" t="n"/>
      <x:c r="J181" s="289" t="n"/>
      <x:c r="K181" s="289" t="n"/>
      <x:c r="L181" s="289" t="n"/>
      <x:c r="M181" s="289" t="n"/>
      <x:c r="N181" s="289" t="n"/>
      <x:c r="O181" s="289" t="n"/>
      <x:c r="P181" s="289" t="n"/>
      <x:c r="Q181" s="289" t="n"/>
      <x:c r="R181" s="289" t="n"/>
      <x:c r="S181" s="289" t="n"/>
      <x:c r="T181" s="289" t="n"/>
      <x:c r="U181" s="289" t="n"/>
      <x:c r="V181" s="289" t="n"/>
      <x:c r="W181" s="289" t="n"/>
      <x:c r="X181" s="289" t="n"/>
      <x:c r="Y181" s="289" t="n"/>
      <x:c r="Z181" s="289" t="n"/>
    </x:row>
    <x:row r="182">
      <x:c r="A182" s="113" t="n"/>
      <x:c r="B182" s="113" t="n"/>
      <x:c r="C182" s="113" t="n"/>
      <x:c r="D182" s="113" t="n"/>
      <x:c r="E182" s="289" t="n"/>
      <x:c r="F182" s="289" t="n"/>
      <x:c r="G182" s="289" t="n"/>
      <x:c r="H182" s="289" t="n"/>
      <x:c r="I182" s="289" t="n"/>
      <x:c r="J182" s="289" t="n"/>
      <x:c r="K182" s="289" t="n"/>
      <x:c r="L182" s="289" t="n"/>
      <x:c r="M182" s="289" t="n"/>
      <x:c r="N182" s="289" t="n"/>
      <x:c r="O182" s="289" t="n"/>
      <x:c r="P182" s="289" t="n"/>
      <x:c r="Q182" s="289" t="n"/>
      <x:c r="R182" s="289" t="n"/>
      <x:c r="S182" s="289" t="n"/>
      <x:c r="T182" s="289" t="n"/>
      <x:c r="U182" s="289" t="n"/>
      <x:c r="V182" s="289" t="n"/>
      <x:c r="W182" s="289" t="n"/>
      <x:c r="X182" s="289" t="n"/>
      <x:c r="Y182" s="289" t="n"/>
      <x:c r="Z182" s="289" t="n"/>
    </x:row>
    <x:row r="183">
      <x:c r="A183" s="113" t="n"/>
      <x:c r="B183" s="113" t="n"/>
      <x:c r="C183" s="113" t="n"/>
      <x:c r="D183" s="113" t="n"/>
      <x:c r="E183" s="289" t="n"/>
      <x:c r="F183" s="289" t="n"/>
      <x:c r="G183" s="289" t="n"/>
      <x:c r="H183" s="289" t="n"/>
      <x:c r="I183" s="289" t="n"/>
      <x:c r="J183" s="289" t="n"/>
      <x:c r="K183" s="289" t="n"/>
      <x:c r="L183" s="289" t="n"/>
      <x:c r="M183" s="289" t="n"/>
      <x:c r="N183" s="289" t="n"/>
      <x:c r="O183" s="289" t="n"/>
      <x:c r="P183" s="289" t="n"/>
      <x:c r="Q183" s="289" t="n"/>
      <x:c r="R183" s="289" t="n"/>
      <x:c r="S183" s="289" t="n"/>
      <x:c r="T183" s="289" t="n"/>
      <x:c r="U183" s="289" t="n"/>
      <x:c r="V183" s="289" t="n"/>
      <x:c r="W183" s="289" t="n"/>
      <x:c r="X183" s="289" t="n"/>
      <x:c r="Y183" s="289" t="n"/>
      <x:c r="Z183" s="289" t="n"/>
    </x:row>
    <x:row r="184">
      <x:c r="A184" s="113" t="n"/>
      <x:c r="B184" s="113" t="n"/>
      <x:c r="C184" s="113" t="n"/>
      <x:c r="D184" s="113" t="n"/>
      <x:c r="E184" s="289" t="n"/>
      <x:c r="F184" s="289" t="n"/>
      <x:c r="G184" s="289" t="n"/>
      <x:c r="H184" s="289" t="n"/>
      <x:c r="I184" s="289" t="n"/>
      <x:c r="J184" s="289" t="n"/>
      <x:c r="K184" s="289" t="n"/>
      <x:c r="L184" s="289" t="n"/>
      <x:c r="M184" s="289" t="n"/>
      <x:c r="N184" s="289" t="n"/>
      <x:c r="O184" s="289" t="n"/>
      <x:c r="P184" s="289" t="n"/>
      <x:c r="Q184" s="289" t="n"/>
      <x:c r="R184" s="289" t="n"/>
      <x:c r="S184" s="289" t="n"/>
      <x:c r="T184" s="289" t="n"/>
      <x:c r="U184" s="289" t="n"/>
      <x:c r="V184" s="289" t="n"/>
      <x:c r="W184" s="289" t="n"/>
      <x:c r="X184" s="289" t="n"/>
      <x:c r="Y184" s="289" t="n"/>
      <x:c r="Z184" s="289" t="n"/>
    </x:row>
    <x:row r="185">
      <x:c r="A185" s="113" t="n"/>
      <x:c r="B185" s="113" t="n"/>
      <x:c r="C185" s="113" t="n"/>
      <x:c r="D185" s="113" t="n"/>
      <x:c r="E185" s="289" t="n"/>
      <x:c r="F185" s="289" t="n"/>
      <x:c r="G185" s="289" t="n"/>
      <x:c r="H185" s="289" t="n"/>
      <x:c r="I185" s="289" t="n"/>
      <x:c r="J185" s="289" t="n"/>
      <x:c r="K185" s="289" t="n"/>
      <x:c r="L185" s="289" t="n"/>
      <x:c r="M185" s="289" t="n"/>
      <x:c r="N185" s="289" t="n"/>
      <x:c r="O185" s="289" t="n"/>
      <x:c r="P185" s="289" t="n"/>
      <x:c r="Q185" s="289" t="n"/>
      <x:c r="R185" s="289" t="n"/>
      <x:c r="S185" s="289" t="n"/>
      <x:c r="T185" s="289" t="n"/>
      <x:c r="U185" s="289" t="n"/>
      <x:c r="V185" s="289" t="n"/>
      <x:c r="W185" s="289" t="n"/>
      <x:c r="X185" s="289" t="n"/>
      <x:c r="Y185" s="289" t="n"/>
      <x:c r="Z185" s="289" t="n"/>
    </x:row>
    <x:row r="186">
      <x:c r="A186" s="113" t="n"/>
      <x:c r="B186" s="113" t="n"/>
      <x:c r="C186" s="113" t="n"/>
      <x:c r="D186" s="113" t="n"/>
      <x:c r="E186" s="289" t="n"/>
      <x:c r="F186" s="289" t="n"/>
      <x:c r="G186" s="289" t="n"/>
      <x:c r="H186" s="289" t="n"/>
      <x:c r="I186" s="289" t="n"/>
      <x:c r="J186" s="289" t="n"/>
      <x:c r="K186" s="289" t="n"/>
      <x:c r="L186" s="289" t="n"/>
      <x:c r="M186" s="289" t="n"/>
      <x:c r="N186" s="289" t="n"/>
      <x:c r="O186" s="289" t="n"/>
      <x:c r="P186" s="289" t="n"/>
      <x:c r="Q186" s="289" t="n"/>
      <x:c r="R186" s="289" t="n"/>
      <x:c r="S186" s="289" t="n"/>
      <x:c r="T186" s="289" t="n"/>
      <x:c r="U186" s="289" t="n"/>
      <x:c r="V186" s="289" t="n"/>
      <x:c r="W186" s="289" t="n"/>
      <x:c r="X186" s="289" t="n"/>
      <x:c r="Y186" s="289" t="n"/>
      <x:c r="Z186" s="289" t="n"/>
    </x:row>
    <x:row r="187">
      <x:c r="A187" s="113" t="n"/>
      <x:c r="B187" s="113" t="n"/>
      <x:c r="C187" s="113" t="n"/>
      <x:c r="D187" s="113" t="n"/>
      <x:c r="E187" s="289" t="n"/>
      <x:c r="F187" s="289" t="n"/>
      <x:c r="G187" s="289" t="n"/>
      <x:c r="H187" s="289" t="n"/>
      <x:c r="I187" s="289" t="n"/>
      <x:c r="J187" s="289" t="n"/>
      <x:c r="K187" s="289" t="n"/>
      <x:c r="L187" s="289" t="n"/>
      <x:c r="M187" s="289" t="n"/>
      <x:c r="N187" s="289" t="n"/>
      <x:c r="O187" s="289" t="n"/>
      <x:c r="P187" s="289" t="n"/>
      <x:c r="Q187" s="289" t="n"/>
      <x:c r="R187" s="289" t="n"/>
      <x:c r="S187" s="289" t="n"/>
      <x:c r="T187" s="289" t="n"/>
      <x:c r="U187" s="289" t="n"/>
      <x:c r="V187" s="289" t="n"/>
      <x:c r="W187" s="289" t="n"/>
      <x:c r="X187" s="289" t="n"/>
      <x:c r="Y187" s="289" t="n"/>
      <x:c r="Z187" s="289" t="n"/>
    </x:row>
    <x:row r="188">
      <x:c r="A188" s="113" t="n"/>
      <x:c r="B188" s="113" t="n"/>
      <x:c r="C188" s="113" t="n"/>
      <x:c r="D188" s="113" t="n"/>
      <x:c r="E188" s="289" t="n"/>
      <x:c r="F188" s="289" t="n"/>
      <x:c r="G188" s="289" t="n"/>
      <x:c r="H188" s="289" t="n"/>
      <x:c r="I188" s="289" t="n"/>
      <x:c r="J188" s="289" t="n"/>
      <x:c r="K188" s="289" t="n"/>
      <x:c r="L188" s="289" t="n"/>
      <x:c r="M188" s="289" t="n"/>
      <x:c r="N188" s="289" t="n"/>
      <x:c r="O188" s="289" t="n"/>
      <x:c r="P188" s="289" t="n"/>
      <x:c r="Q188" s="289" t="n"/>
      <x:c r="R188" s="289" t="n"/>
      <x:c r="S188" s="289" t="n"/>
      <x:c r="T188" s="289" t="n"/>
      <x:c r="U188" s="289" t="n"/>
      <x:c r="V188" s="289" t="n"/>
      <x:c r="W188" s="289" t="n"/>
      <x:c r="X188" s="289" t="n"/>
      <x:c r="Y188" s="289" t="n"/>
      <x:c r="Z188" s="289" t="n"/>
    </x:row>
    <x:row r="189">
      <x:c r="A189" s="113" t="n"/>
      <x:c r="B189" s="113" t="n"/>
      <x:c r="C189" s="113" t="n"/>
      <x:c r="D189" s="113" t="n"/>
      <x:c r="E189" s="289" t="n"/>
      <x:c r="F189" s="289" t="n"/>
      <x:c r="G189" s="289" t="n"/>
      <x:c r="H189" s="289" t="n"/>
      <x:c r="I189" s="289" t="n"/>
      <x:c r="J189" s="289" t="n"/>
      <x:c r="K189" s="289" t="n"/>
      <x:c r="L189" s="289" t="n"/>
      <x:c r="M189" s="289" t="n"/>
      <x:c r="N189" s="289" t="n"/>
      <x:c r="O189" s="289" t="n"/>
      <x:c r="P189" s="289" t="n"/>
      <x:c r="Q189" s="289" t="n"/>
      <x:c r="R189" s="289" t="n"/>
      <x:c r="S189" s="289" t="n"/>
      <x:c r="T189" s="289" t="n"/>
      <x:c r="U189" s="289" t="n"/>
      <x:c r="V189" s="289" t="n"/>
      <x:c r="W189" s="289" t="n"/>
      <x:c r="X189" s="289" t="n"/>
      <x:c r="Y189" s="289" t="n"/>
      <x:c r="Z189" s="289" t="n"/>
    </x:row>
    <x:row r="190">
      <x:c r="A190" s="113" t="n"/>
      <x:c r="B190" s="113" t="n"/>
      <x:c r="C190" s="113" t="n"/>
      <x:c r="D190" s="113" t="n"/>
      <x:c r="E190" s="289" t="n"/>
      <x:c r="F190" s="289" t="n"/>
      <x:c r="G190" s="289" t="n"/>
      <x:c r="H190" s="289" t="n"/>
      <x:c r="I190" s="289" t="n"/>
      <x:c r="J190" s="289" t="n"/>
      <x:c r="K190" s="289" t="n"/>
      <x:c r="L190" s="289" t="n"/>
      <x:c r="M190" s="289" t="n"/>
      <x:c r="N190" s="289" t="n"/>
      <x:c r="O190" s="289" t="n"/>
      <x:c r="P190" s="289" t="n"/>
      <x:c r="Q190" s="289" t="n"/>
      <x:c r="R190" s="289" t="n"/>
      <x:c r="S190" s="289" t="n"/>
      <x:c r="T190" s="289" t="n"/>
      <x:c r="U190" s="289" t="n"/>
      <x:c r="V190" s="289" t="n"/>
      <x:c r="W190" s="289" t="n"/>
      <x:c r="X190" s="289" t="n"/>
      <x:c r="Y190" s="289" t="n"/>
      <x:c r="Z190" s="289" t="n"/>
    </x:row>
    <x:row r="191">
      <x:c r="A191" s="113" t="n"/>
      <x:c r="B191" s="113" t="n"/>
      <x:c r="C191" s="113" t="n"/>
      <x:c r="D191" s="113" t="n"/>
      <x:c r="E191" s="289" t="n"/>
      <x:c r="F191" s="289" t="n"/>
      <x:c r="G191" s="289" t="n"/>
      <x:c r="H191" s="289" t="n"/>
      <x:c r="I191" s="289" t="n"/>
      <x:c r="J191" s="289" t="n"/>
      <x:c r="K191" s="289" t="n"/>
      <x:c r="L191" s="289" t="n"/>
      <x:c r="M191" s="289" t="n"/>
      <x:c r="N191" s="289" t="n"/>
      <x:c r="O191" s="289" t="n"/>
      <x:c r="P191" s="289" t="n"/>
      <x:c r="Q191" s="289" t="n"/>
      <x:c r="R191" s="289" t="n"/>
      <x:c r="S191" s="289" t="n"/>
      <x:c r="T191" s="289" t="n"/>
      <x:c r="U191" s="289" t="n"/>
      <x:c r="V191" s="289" t="n"/>
      <x:c r="W191" s="289" t="n"/>
      <x:c r="X191" s="289" t="n"/>
      <x:c r="Y191" s="289" t="n"/>
      <x:c r="Z191" s="289" t="n"/>
    </x:row>
    <x:row r="192">
      <x:c r="A192" s="113" t="n"/>
      <x:c r="B192" s="113" t="n"/>
      <x:c r="C192" s="113" t="n"/>
      <x:c r="D192" s="113" t="n"/>
      <x:c r="E192" s="289" t="n"/>
      <x:c r="F192" s="289" t="n"/>
      <x:c r="G192" s="289" t="n"/>
      <x:c r="H192" s="289" t="n"/>
      <x:c r="I192" s="289" t="n"/>
      <x:c r="J192" s="289" t="n"/>
      <x:c r="K192" s="289" t="n"/>
      <x:c r="L192" s="289" t="n"/>
      <x:c r="M192" s="289" t="n"/>
      <x:c r="N192" s="289" t="n"/>
      <x:c r="O192" s="289" t="n"/>
      <x:c r="P192" s="289" t="n"/>
      <x:c r="Q192" s="289" t="n"/>
      <x:c r="R192" s="289" t="n"/>
      <x:c r="S192" s="289" t="n"/>
      <x:c r="T192" s="289" t="n"/>
      <x:c r="U192" s="289" t="n"/>
      <x:c r="V192" s="289" t="n"/>
      <x:c r="W192" s="289" t="n"/>
      <x:c r="X192" s="289" t="n"/>
      <x:c r="Y192" s="289" t="n"/>
      <x:c r="Z192" s="289" t="n"/>
    </x:row>
    <x:row r="193">
      <x:c r="A193" s="113" t="n"/>
      <x:c r="B193" s="113" t="n"/>
      <x:c r="C193" s="113" t="n"/>
      <x:c r="D193" s="113" t="n"/>
      <x:c r="E193" s="289" t="n"/>
      <x:c r="F193" s="289" t="n"/>
      <x:c r="G193" s="289" t="n"/>
      <x:c r="H193" s="289" t="n"/>
      <x:c r="I193" s="289" t="n"/>
      <x:c r="J193" s="289" t="n"/>
      <x:c r="K193" s="289" t="n"/>
      <x:c r="L193" s="289" t="n"/>
      <x:c r="M193" s="289" t="n"/>
      <x:c r="N193" s="289" t="n"/>
      <x:c r="O193" s="289" t="n"/>
      <x:c r="P193" s="289" t="n"/>
      <x:c r="Q193" s="289" t="n"/>
      <x:c r="R193" s="289" t="n"/>
      <x:c r="S193" s="289" t="n"/>
      <x:c r="T193" s="289" t="n"/>
      <x:c r="U193" s="289" t="n"/>
      <x:c r="V193" s="289" t="n"/>
      <x:c r="W193" s="289" t="n"/>
      <x:c r="X193" s="289" t="n"/>
      <x:c r="Y193" s="289" t="n"/>
      <x:c r="Z193" s="289" t="n"/>
    </x:row>
    <x:row r="194">
      <x:c r="A194" s="113" t="n"/>
      <x:c r="B194" s="113" t="n"/>
      <x:c r="C194" s="113" t="n"/>
      <x:c r="D194" s="113" t="n"/>
      <x:c r="E194" s="289" t="n"/>
      <x:c r="F194" s="289" t="n"/>
      <x:c r="G194" s="289" t="n"/>
      <x:c r="H194" s="289" t="n"/>
      <x:c r="I194" s="289" t="n"/>
      <x:c r="J194" s="289" t="n"/>
      <x:c r="K194" s="289" t="n"/>
      <x:c r="L194" s="289" t="n"/>
      <x:c r="M194" s="289" t="n"/>
      <x:c r="N194" s="289" t="n"/>
      <x:c r="O194" s="289" t="n"/>
      <x:c r="P194" s="289" t="n"/>
      <x:c r="Q194" s="289" t="n"/>
      <x:c r="R194" s="289" t="n"/>
      <x:c r="S194" s="289" t="n"/>
      <x:c r="T194" s="289" t="n"/>
      <x:c r="U194" s="289" t="n"/>
      <x:c r="V194" s="289" t="n"/>
      <x:c r="W194" s="289" t="n"/>
      <x:c r="X194" s="289" t="n"/>
      <x:c r="Y194" s="289" t="n"/>
      <x:c r="Z194" s="289" t="n"/>
    </x:row>
    <x:row r="195">
      <x:c r="A195" s="113" t="n"/>
      <x:c r="B195" s="113" t="n"/>
      <x:c r="C195" s="113" t="n"/>
      <x:c r="D195" s="113" t="n"/>
      <x:c r="E195" s="289" t="n"/>
      <x:c r="F195" s="289" t="n"/>
      <x:c r="G195" s="289" t="n"/>
      <x:c r="H195" s="289" t="n"/>
      <x:c r="I195" s="289" t="n"/>
      <x:c r="J195" s="289" t="n"/>
      <x:c r="K195" s="289" t="n"/>
      <x:c r="L195" s="289" t="n"/>
      <x:c r="M195" s="289" t="n"/>
      <x:c r="N195" s="289" t="n"/>
      <x:c r="O195" s="289" t="n"/>
      <x:c r="P195" s="289" t="n"/>
      <x:c r="Q195" s="289" t="n"/>
      <x:c r="R195" s="289" t="n"/>
      <x:c r="S195" s="289" t="n"/>
      <x:c r="T195" s="289" t="n"/>
      <x:c r="U195" s="289" t="n"/>
      <x:c r="V195" s="289" t="n"/>
      <x:c r="W195" s="289" t="n"/>
      <x:c r="X195" s="289" t="n"/>
      <x:c r="Y195" s="289" t="n"/>
      <x:c r="Z195" s="289" t="n"/>
    </x:row>
    <x:row r="196">
      <x:c r="A196" s="113" t="n"/>
      <x:c r="B196" s="113" t="n"/>
      <x:c r="C196" s="113" t="n"/>
      <x:c r="D196" s="113" t="n"/>
      <x:c r="E196" s="289" t="n"/>
      <x:c r="F196" s="289" t="n"/>
      <x:c r="G196" s="289" t="n"/>
      <x:c r="H196" s="289" t="n"/>
      <x:c r="I196" s="289" t="n"/>
      <x:c r="J196" s="289" t="n"/>
      <x:c r="K196" s="289" t="n"/>
      <x:c r="L196" s="289" t="n"/>
      <x:c r="M196" s="289" t="n"/>
      <x:c r="N196" s="289" t="n"/>
      <x:c r="O196" s="289" t="n"/>
      <x:c r="P196" s="289" t="n"/>
      <x:c r="Q196" s="289" t="n"/>
      <x:c r="R196" s="289" t="n"/>
      <x:c r="S196" s="289" t="n"/>
      <x:c r="T196" s="289" t="n"/>
      <x:c r="U196" s="289" t="n"/>
      <x:c r="V196" s="289" t="n"/>
      <x:c r="W196" s="289" t="n"/>
      <x:c r="X196" s="289" t="n"/>
      <x:c r="Y196" s="289" t="n"/>
      <x:c r="Z196" s="289" t="n"/>
    </x:row>
    <x:row r="197">
      <x:c r="A197" s="113" t="n"/>
      <x:c r="B197" s="113" t="n"/>
      <x:c r="C197" s="113" t="n"/>
      <x:c r="D197" s="113" t="n"/>
      <x:c r="E197" s="289" t="n"/>
      <x:c r="F197" s="289" t="n"/>
      <x:c r="G197" s="289" t="n"/>
      <x:c r="H197" s="289" t="n"/>
      <x:c r="I197" s="289" t="n"/>
      <x:c r="J197" s="289" t="n"/>
      <x:c r="K197" s="289" t="n"/>
      <x:c r="L197" s="289" t="n"/>
      <x:c r="M197" s="289" t="n"/>
      <x:c r="N197" s="289" t="n"/>
      <x:c r="O197" s="289" t="n"/>
      <x:c r="P197" s="289" t="n"/>
      <x:c r="Q197" s="289" t="n"/>
      <x:c r="R197" s="289" t="n"/>
      <x:c r="S197" s="289" t="n"/>
      <x:c r="T197" s="289" t="n"/>
      <x:c r="U197" s="289" t="n"/>
      <x:c r="V197" s="289" t="n"/>
      <x:c r="W197" s="289" t="n"/>
      <x:c r="X197" s="289" t="n"/>
      <x:c r="Y197" s="289" t="n"/>
      <x:c r="Z197" s="289" t="n"/>
    </x:row>
    <x:row r="198">
      <x:c r="A198" s="113" t="n"/>
      <x:c r="B198" s="113" t="n"/>
      <x:c r="C198" s="113" t="n"/>
      <x:c r="D198" s="113" t="n"/>
      <x:c r="E198" s="289" t="n"/>
      <x:c r="F198" s="289" t="n"/>
      <x:c r="G198" s="289" t="n"/>
      <x:c r="H198" s="289" t="n"/>
      <x:c r="I198" s="289" t="n"/>
      <x:c r="J198" s="289" t="n"/>
      <x:c r="K198" s="289" t="n"/>
      <x:c r="L198" s="289" t="n"/>
      <x:c r="M198" s="289" t="n"/>
      <x:c r="N198" s="289" t="n"/>
      <x:c r="O198" s="289" t="n"/>
      <x:c r="P198" s="289" t="n"/>
      <x:c r="Q198" s="289" t="n"/>
      <x:c r="R198" s="289" t="n"/>
      <x:c r="S198" s="289" t="n"/>
      <x:c r="T198" s="289" t="n"/>
      <x:c r="U198" s="289" t="n"/>
      <x:c r="V198" s="289" t="n"/>
      <x:c r="W198" s="289" t="n"/>
      <x:c r="X198" s="289" t="n"/>
      <x:c r="Y198" s="289" t="n"/>
      <x:c r="Z198" s="289" t="n"/>
    </x:row>
    <x:row r="199">
      <x:c r="A199" s="113" t="n"/>
      <x:c r="B199" s="113" t="n"/>
      <x:c r="C199" s="113" t="n"/>
      <x:c r="D199" s="113" t="n"/>
      <x:c r="E199" s="289" t="n"/>
      <x:c r="F199" s="289" t="n"/>
      <x:c r="G199" s="289" t="n"/>
      <x:c r="H199" s="289" t="n"/>
      <x:c r="I199" s="289" t="n"/>
      <x:c r="J199" s="289" t="n"/>
      <x:c r="K199" s="289" t="n"/>
      <x:c r="L199" s="289" t="n"/>
      <x:c r="M199" s="289" t="n"/>
      <x:c r="N199" s="289" t="n"/>
      <x:c r="O199" s="289" t="n"/>
      <x:c r="P199" s="289" t="n"/>
      <x:c r="Q199" s="289" t="n"/>
      <x:c r="R199" s="289" t="n"/>
      <x:c r="S199" s="289" t="n"/>
      <x:c r="T199" s="289" t="n"/>
      <x:c r="U199" s="289" t="n"/>
      <x:c r="V199" s="289" t="n"/>
      <x:c r="W199" s="289" t="n"/>
      <x:c r="X199" s="289" t="n"/>
      <x:c r="Y199" s="289" t="n"/>
      <x:c r="Z199" s="289" t="n"/>
    </x:row>
    <x:row r="200">
      <x:c r="A200" s="113" t="n"/>
      <x:c r="B200" s="113" t="n"/>
      <x:c r="C200" s="113" t="n"/>
      <x:c r="D200" s="113" t="n"/>
      <x:c r="E200" s="289" t="n"/>
      <x:c r="F200" s="289" t="n"/>
      <x:c r="G200" s="289" t="n"/>
      <x:c r="H200" s="289" t="n"/>
      <x:c r="I200" s="289" t="n"/>
      <x:c r="J200" s="289" t="n"/>
      <x:c r="K200" s="289" t="n"/>
      <x:c r="L200" s="289" t="n"/>
      <x:c r="M200" s="289" t="n"/>
      <x:c r="N200" s="289" t="n"/>
      <x:c r="O200" s="289" t="n"/>
      <x:c r="P200" s="289" t="n"/>
      <x:c r="Q200" s="289" t="n"/>
      <x:c r="R200" s="289" t="n"/>
      <x:c r="S200" s="289" t="n"/>
      <x:c r="T200" s="289" t="n"/>
      <x:c r="U200" s="289" t="n"/>
      <x:c r="V200" s="289" t="n"/>
      <x:c r="W200" s="289" t="n"/>
      <x:c r="X200" s="289" t="n"/>
      <x:c r="Y200" s="289" t="n"/>
      <x:c r="Z200" s="289" t="n"/>
    </x:row>
  </x:sheetData>
  <x:mergeCells>
    <x:mergeCell ref="A1:B1"/>
  </x:mergeCells>
  <x:pageMargins left="0.7" right="0.7" top="0.75" bottom="0.75" header="0.3" footer="0.3"/>
</x:worksheet>
</file>